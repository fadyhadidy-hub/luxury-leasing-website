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Home" sheetId="1" state="visible" r:id="rId1"/>
    <sheet name="📊 Sales Dashboard" sheetId="2" state="visible" r:id="rId2"/>
    <sheet name="📇 LOB Cheat Sheet" sheetId="3" state="visible" r:id="rId3"/>
    <sheet name="_DashData" sheetId="4" state="hidden" r:id="rId4"/>
    <sheet name="📋 Data Map · Overview" sheetId="5" state="visible" r:id="rId5"/>
    <sheet name="📦 Data Catalog" sheetId="6" state="visible" r:id="rId6"/>
    <sheet name="🗺️ Coverage Map" sheetId="7" state="visible" r:id="rId7"/>
    <sheet name="D&amp;O · Data Map" sheetId="8" state="visible" r:id="rId8"/>
    <sheet name="E&amp;O · Data Map" sheetId="9" state="visible" r:id="rId9"/>
    <sheet name="Surety · Data Map" sheetId="10" state="visible" r:id="rId10"/>
    <sheet name="Trade Credit · Data Map" sheetId="11" state="visible" r:id="rId11"/>
    <sheet name="General Liability·Data Map" sheetId="12" state="visible" r:id="rId12"/>
    <sheet name="Excess Casualty · Data Map" sheetId="13" state="visible" r:id="rId13"/>
    <sheet name="🎯 Strategy &amp; Architecture" sheetId="14" state="visible" r:id="rId14"/>
    <sheet name="D&amp;O · Risk Model" sheetId="15" state="visible" r:id="rId15"/>
    <sheet name="Trade Credit · Risk Model" sheetId="16" state="visible" r:id="rId16"/>
    <sheet name="Surety · Risk Model" sheetId="17" state="visible" r:id="rId17"/>
    <sheet name="General Liability·Risk Model" sheetId="18" state="visible" r:id="rId18"/>
    <sheet name="Excess Casualty · Risk Model" sheetId="19" state="visible" r:id="rId19"/>
    <sheet name="E&amp;O · Risk Model" sheetId="20" state="visible" r:id="rId20"/>
    <sheet name="🔬 Stress Tests" sheetId="21" state="visible" r:id="rId21"/>
    <sheet name="🚀 Roadmap &amp; ROI" sheetId="22" state="visible" r:id="rId22"/>
  </sheets>
  <definedNames>
    <definedName name="_LobList">_DashData!$B$1:$G$1</definedName>
  </definedNames>
  <calcPr calcId="124519" fullCalcOnLoad="1"/>
</workbook>
</file>

<file path=xl/styles.xml><?xml version="1.0" encoding="utf-8"?>
<styleSheet xmlns="http://schemas.openxmlformats.org/spreadsheetml/2006/main">
  <numFmts count="0"/>
  <fonts count="97">
    <font>
      <name val="Calibri"/>
      <family val="2"/>
      <color theme="1"/>
      <sz val="11"/>
      <scheme val="minor"/>
    </font>
    <font>
      <name val="Calibri"/>
      <b val="1"/>
      <color rgb="00FFFFFF"/>
      <sz val="18"/>
    </font>
    <font>
      <name val="Calibri"/>
      <i val="1"/>
      <color rgb="00BEE3F8"/>
      <sz val="10"/>
    </font>
    <font>
      <name val="Calibri"/>
      <color rgb="00222222"/>
      <sz val="10"/>
    </font>
    <font>
      <name val="Calibri"/>
      <b val="1"/>
      <color rgb="00FFFFFF"/>
      <sz val="10"/>
    </font>
    <font>
      <name val="Calibri"/>
      <b val="1"/>
      <color rgb="001B3A6B"/>
      <sz val="12"/>
    </font>
    <font>
      <name val="Calibri"/>
      <b val="1"/>
      <color rgb="001A1A2E"/>
      <sz val="9"/>
    </font>
    <font>
      <name val="Calibri"/>
      <color rgb="00222222"/>
      <sz val="9.5"/>
    </font>
    <font>
      <name val="Calibri"/>
      <i val="1"/>
      <color rgb="00B7791F"/>
      <sz val="8.5"/>
    </font>
    <font>
      <name val="Calibri"/>
      <b val="1"/>
      <color rgb="00FFFFFF"/>
      <sz val="17"/>
    </font>
    <font>
      <name val="Calibri"/>
      <i val="1"/>
      <color rgb="00BEE3F8"/>
      <sz val="9.5"/>
    </font>
    <font>
      <name val="Calibri"/>
      <b val="1"/>
      <color rgb="001A1A2E"/>
      <sz val="12"/>
    </font>
    <font>
      <name val="Calibri"/>
      <b val="1"/>
      <color rgb="00CC0000"/>
      <sz val="16"/>
    </font>
    <font>
      <name val="Calibri"/>
      <b val="1"/>
      <color rgb="00FFFFFF"/>
      <sz val="16"/>
    </font>
    <font>
      <name val="Calibri"/>
      <i val="1"/>
      <color rgb="001B3A6B"/>
      <sz val="11"/>
    </font>
    <font>
      <name val="Calibri"/>
      <b val="1"/>
      <color rgb="00B7791F"/>
      <sz val="12"/>
    </font>
    <font>
      <name val="Calibri"/>
      <b val="1"/>
      <color rgb="00276749"/>
      <sz val="14"/>
    </font>
    <font>
      <name val="Calibri"/>
      <i val="1"/>
      <color rgb="00475569"/>
      <sz val="8"/>
    </font>
    <font>
      <name val="Calibri"/>
      <b val="1"/>
      <color rgb="002563EB"/>
      <sz val="10"/>
      <u val="single"/>
    </font>
    <font>
      <name val="Calibri"/>
      <color rgb="00475569"/>
      <sz val="8.5"/>
    </font>
    <font>
      <name val="Calibri"/>
      <i val="1"/>
      <color rgb="00BEE3F8"/>
      <sz val="9"/>
    </font>
    <font>
      <name val="Calibri"/>
      <b val="1"/>
      <color rgb="00FFFFFF"/>
      <sz val="9.5"/>
    </font>
    <font>
      <name val="Calibri"/>
      <color rgb="00222222"/>
      <sz val="8.5"/>
    </font>
    <font>
      <name val="Calibri"/>
      <b val="1"/>
      <color rgb="00CC0000"/>
      <sz val="8.5"/>
    </font>
    <font>
      <name val="Calibri"/>
      <b val="1"/>
      <i val="1"/>
      <color rgb="00B7791F"/>
      <sz val="8.5"/>
    </font>
    <font>
      <name val="Calibri"/>
      <b val="1"/>
      <color rgb="00FFFFFF"/>
      <sz val="9"/>
    </font>
    <font>
      <name val="Calibri"/>
      <b val="1"/>
      <sz val="9"/>
    </font>
    <font>
      <name val="Calibri"/>
      <sz val="9"/>
    </font>
    <font>
      <name val="Calibri"/>
      <b val="1"/>
      <color rgb="003D5A80"/>
      <sz val="9"/>
    </font>
    <font>
      <name val="Calibri"/>
      <color rgb="00222222"/>
      <sz val="9"/>
    </font>
    <font>
      <name val="Calibri"/>
      <b val="1"/>
      <color rgb="001B3A6B"/>
      <sz val="9"/>
    </font>
    <font>
      <name val="Calibri"/>
      <b val="1"/>
      <color rgb="00CC0000"/>
      <sz val="9"/>
    </font>
    <font>
      <name val="Calibri"/>
      <b val="1"/>
      <color rgb="002E7D32"/>
      <sz val="9"/>
    </font>
    <font>
      <name val="Calibri"/>
      <b val="1"/>
      <color rgb="001565C0"/>
      <sz val="9"/>
    </font>
    <font>
      <name val="Calibri"/>
      <b val="1"/>
      <color rgb="00E65100"/>
      <sz val="9"/>
    </font>
    <font>
      <name val="Calibri"/>
      <b val="1"/>
      <color rgb="004A148C"/>
      <sz val="9"/>
    </font>
    <font>
      <name val="Calibri"/>
      <b val="1"/>
      <color rgb="000277BD"/>
      <sz val="9"/>
    </font>
    <font>
      <name val="Calibri"/>
      <b val="1"/>
      <color rgb="00B71C1C"/>
      <sz val="9"/>
    </font>
    <font>
      <name val="Calibri"/>
      <b val="1"/>
      <color rgb="0037474F"/>
      <sz val="9"/>
    </font>
    <font>
      <name val="Calibri"/>
      <b val="1"/>
      <color rgb="007B2D8B"/>
      <sz val="9"/>
    </font>
    <font>
      <name val="Calibri"/>
      <b val="1"/>
      <color rgb="004E342E"/>
      <sz val="9"/>
    </font>
    <font>
      <name val="Calibri"/>
      <b val="1"/>
      <color rgb="00FFFFFF"/>
      <sz val="14"/>
    </font>
    <font>
      <name val="Calibri"/>
      <b val="1"/>
      <color rgb="003D5A80"/>
      <sz val="8.5"/>
    </font>
    <font>
      <name val="Calibri"/>
      <b val="1"/>
      <color rgb="00276749"/>
      <sz val="11"/>
    </font>
    <font>
      <name val="Calibri"/>
      <b val="1"/>
      <color rgb="00B7791F"/>
      <sz val="11"/>
    </font>
    <font>
      <name val="Calibri"/>
      <b val="1"/>
      <color rgb="007B2D8B"/>
      <sz val="8.5"/>
    </font>
    <font>
      <name val="Calibri"/>
      <b val="1"/>
      <color rgb="00777777"/>
      <sz val="11"/>
    </font>
    <font>
      <name val="Calibri"/>
      <b val="1"/>
      <color rgb="002E7D32"/>
      <sz val="8.5"/>
    </font>
    <font>
      <name val="Calibri"/>
      <b val="1"/>
      <color rgb="001565C0"/>
      <sz val="8.5"/>
    </font>
    <font>
      <name val="Calibri"/>
      <b val="1"/>
      <color rgb="00E65100"/>
      <sz val="8.5"/>
    </font>
    <font>
      <name val="Calibri"/>
      <b val="1"/>
      <color rgb="001B3A6B"/>
      <sz val="8.5"/>
    </font>
    <font>
      <name val="Calibri"/>
      <b val="1"/>
      <color rgb="004A148C"/>
      <sz val="8.5"/>
    </font>
    <font>
      <name val="Calibri"/>
      <b val="1"/>
      <color rgb="000277BD"/>
      <sz val="8.5"/>
    </font>
    <font>
      <name val="Calibri"/>
      <b val="1"/>
      <color rgb="00B71C1C"/>
      <sz val="8.5"/>
    </font>
    <font>
      <name val="Calibri"/>
      <b val="1"/>
      <color rgb="004E342E"/>
      <sz val="8.5"/>
    </font>
    <font>
      <name val="Calibri"/>
      <b val="1"/>
      <color rgb="0037474F"/>
      <sz val="8.5"/>
    </font>
    <font>
      <name val="Calibri"/>
      <b val="1"/>
      <color rgb="00FFFFFF"/>
      <sz val="15"/>
    </font>
    <font>
      <name val="Calibri"/>
      <i val="1"/>
      <color rgb="00FFFFFF"/>
      <sz val="9"/>
    </font>
    <font>
      <name val="Calibri"/>
      <b val="1"/>
      <color rgb="00FFFFFF"/>
      <sz val="8.5"/>
    </font>
    <font>
      <name val="Calibri"/>
      <i val="1"/>
      <color rgb="001A1A2E"/>
      <sz val="7.5"/>
    </font>
    <font>
      <name val="Calibri"/>
      <b val="1"/>
      <color rgb="009B2335"/>
      <sz val="8.5"/>
    </font>
    <font>
      <name val="Calibri"/>
      <b val="1"/>
      <color rgb="00000000"/>
      <sz val="8"/>
    </font>
    <font>
      <name val="Calibri"/>
      <i val="1"/>
      <color rgb="00444444"/>
      <sz val="8"/>
    </font>
    <font>
      <name val="Calibri"/>
      <color rgb="001A365D"/>
      <sz val="8.5"/>
    </font>
    <font>
      <name val="Calibri"/>
      <b val="1"/>
      <color rgb="00B7791F"/>
      <sz val="8.5"/>
    </font>
    <font>
      <name val="Calibri"/>
      <i val="1"/>
      <color rgb="00555555"/>
      <sz val="7.5"/>
    </font>
    <font>
      <name val="Calibri"/>
      <b val="1"/>
      <i val="1"/>
      <color rgb="00FFFFFF"/>
      <sz val="10"/>
    </font>
    <font>
      <name val="Calibri"/>
      <color rgb="00000000"/>
      <sz val="9"/>
    </font>
    <font>
      <name val="Calibri"/>
      <color rgb="00000000"/>
      <sz val="9.5"/>
    </font>
    <font>
      <name val="Calibri"/>
      <b val="1"/>
      <color rgb="00276749"/>
      <sz val="9"/>
    </font>
    <font>
      <name val="Calibri"/>
      <b val="1"/>
      <color rgb="00222222"/>
      <sz val="8.5"/>
    </font>
    <font>
      <name val="Calibri"/>
      <b val="1"/>
      <color rgb="00276749"/>
      <sz val="8.5"/>
    </font>
    <font>
      <name val="Calibri"/>
      <b val="1"/>
      <i val="1"/>
      <color rgb="00FFFFFF"/>
      <sz val="9"/>
    </font>
    <font>
      <name val="Calibri"/>
      <b val="1"/>
      <color rgb="002C5282"/>
      <sz val="8.5"/>
    </font>
    <font>
      <name val="Calibri"/>
      <b val="1"/>
      <color rgb="002C5282"/>
      <sz val="10"/>
    </font>
    <font>
      <name val="Calibri"/>
      <color rgb="00222222"/>
      <sz val="8"/>
    </font>
    <font>
      <name val="Calibri"/>
      <color rgb="00276749"/>
      <sz val="8.5"/>
    </font>
    <font>
      <name val="Calibri"/>
      <color rgb="009B2335"/>
      <sz val="8.5"/>
    </font>
    <font>
      <name val="Calibri"/>
      <color rgb="00888888"/>
      <sz val="8.5"/>
    </font>
    <font>
      <name val="Calibri"/>
      <b val="1"/>
      <color rgb="00276749"/>
      <sz val="10"/>
    </font>
    <font>
      <name val="Calibri"/>
      <b val="1"/>
      <color rgb="00B7791F"/>
      <sz val="10"/>
    </font>
    <font>
      <name val="Calibri"/>
      <b val="1"/>
      <color rgb="009B2335"/>
      <sz val="10"/>
    </font>
    <font>
      <name val="Calibri"/>
      <b val="1"/>
      <color rgb="00553C9A"/>
      <sz val="8.5"/>
    </font>
    <font>
      <name val="Calibri"/>
      <b val="1"/>
      <color rgb="00553C9A"/>
      <sz val="10"/>
    </font>
    <font>
      <name val="Calibri"/>
      <b val="1"/>
      <color rgb="002C7A7B"/>
      <sz val="8.5"/>
    </font>
    <font>
      <name val="Calibri"/>
      <b val="1"/>
      <color rgb="002C7A7B"/>
      <sz val="10"/>
    </font>
    <font>
      <name val="Calibri"/>
      <b val="1"/>
      <color rgb="00744210"/>
      <sz val="8.5"/>
    </font>
    <font>
      <name val="Calibri"/>
      <b val="1"/>
      <color rgb="00744210"/>
      <sz val="10"/>
    </font>
    <font>
      <name val="Calibri"/>
      <b val="1"/>
      <color rgb="00742A2A"/>
      <sz val="9"/>
    </font>
    <font>
      <name val="Calibri"/>
      <b val="1"/>
      <color rgb="00742A2A"/>
      <sz val="8.5"/>
    </font>
    <font>
      <name val="Calibri"/>
      <i val="1"/>
      <color rgb="00444444"/>
      <sz val="8.5"/>
    </font>
    <font>
      <name val="Calibri"/>
      <b val="1"/>
      <color rgb="00FFFFFF"/>
      <sz val="8"/>
    </font>
    <font>
      <name val="Calibri"/>
      <b val="1"/>
      <color rgb="00B7791F"/>
      <sz val="9"/>
    </font>
    <font>
      <name val="Calibri"/>
      <b val="1"/>
      <color rgb="00FFFFFF"/>
      <sz val="11"/>
    </font>
    <font>
      <name val="Calibri"/>
      <b val="1"/>
      <color rgb="009B2335"/>
      <sz val="9"/>
    </font>
    <font>
      <name val="Calibri"/>
      <i val="1"/>
      <color rgb="001B3A6B"/>
      <sz val="8.5"/>
    </font>
    <font>
      <name val="Calibri"/>
      <b val="1"/>
      <color rgb="00744210"/>
      <sz val="9"/>
    </font>
  </fonts>
  <fills count="45">
    <fill>
      <patternFill/>
    </fill>
    <fill>
      <patternFill patternType="gray125"/>
    </fill>
    <fill>
      <patternFill patternType="solid">
        <fgColor rgb="001A1A2E"/>
      </patternFill>
    </fill>
    <fill>
      <patternFill patternType="solid">
        <fgColor rgb="001B3A6B"/>
      </patternFill>
    </fill>
    <fill>
      <patternFill patternType="solid">
        <fgColor rgb="00D4AF37"/>
      </patternFill>
    </fill>
    <fill>
      <patternFill patternType="solid">
        <fgColor rgb="003182CE"/>
      </patternFill>
    </fill>
    <fill>
      <patternFill patternType="solid">
        <fgColor rgb="00EBF8FF"/>
      </patternFill>
    </fill>
    <fill>
      <patternFill patternType="solid">
        <fgColor rgb="00FFFFFF"/>
      </patternFill>
    </fill>
    <fill>
      <patternFill patternType="solid">
        <fgColor rgb="00FFFFF0"/>
      </patternFill>
    </fill>
    <fill>
      <patternFill patternType="solid">
        <fgColor rgb="00F0FFF4"/>
      </patternFill>
    </fill>
    <fill>
      <patternFill patternType="solid">
        <fgColor rgb="002C5282"/>
      </patternFill>
    </fill>
    <fill>
      <patternFill patternType="solid">
        <fgColor rgb="009B2335"/>
      </patternFill>
    </fill>
    <fill>
      <patternFill patternType="solid">
        <fgColor rgb="00CC0000"/>
      </patternFill>
    </fill>
    <fill>
      <patternFill patternType="solid">
        <fgColor rgb="00276749"/>
      </patternFill>
    </fill>
    <fill>
      <patternFill patternType="solid">
        <fgColor rgb="002C7A7B"/>
      </patternFill>
    </fill>
    <fill>
      <patternFill patternType="solid">
        <fgColor rgb="00B7791F"/>
      </patternFill>
    </fill>
    <fill>
      <patternFill patternType="solid">
        <fgColor rgb="00F7FAFC"/>
      </patternFill>
    </fill>
    <fill>
      <patternFill patternType="solid">
        <fgColor rgb="00FFF5F5"/>
      </patternFill>
    </fill>
    <fill>
      <patternFill patternType="solid">
        <fgColor rgb="002D3748"/>
      </patternFill>
    </fill>
    <fill>
      <patternFill patternType="solid">
        <fgColor rgb="00744210"/>
      </patternFill>
    </fill>
    <fill>
      <patternFill patternType="solid">
        <fgColor rgb="007B341E"/>
      </patternFill>
    </fill>
    <fill>
      <patternFill patternType="solid">
        <fgColor rgb="00702459"/>
      </patternFill>
    </fill>
    <fill>
      <patternFill patternType="solid">
        <fgColor rgb="00E0EBF5"/>
      </patternFill>
    </fill>
    <fill>
      <patternFill patternType="solid">
        <fgColor rgb="00FFF0F0"/>
      </patternFill>
    </fill>
    <fill>
      <patternFill patternType="solid">
        <fgColor rgb="00E8F5E9"/>
      </patternFill>
    </fill>
    <fill>
      <patternFill patternType="solid">
        <fgColor rgb="00E3F2FD"/>
      </patternFill>
    </fill>
    <fill>
      <patternFill patternType="solid">
        <fgColor rgb="00FFF3E0"/>
      </patternFill>
    </fill>
    <fill>
      <patternFill patternType="solid">
        <fgColor rgb="00EDE7F6"/>
      </patternFill>
    </fill>
    <fill>
      <patternFill patternType="solid">
        <fgColor rgb="00E1F5FE"/>
      </patternFill>
    </fill>
    <fill>
      <patternFill patternType="solid">
        <fgColor rgb="00FFEBEE"/>
      </patternFill>
    </fill>
    <fill>
      <patternFill patternType="solid">
        <fgColor rgb="00ECEFF1"/>
      </patternFill>
    </fill>
    <fill>
      <patternFill patternType="solid">
        <fgColor rgb="00F3E8FF"/>
      </patternFill>
    </fill>
    <fill>
      <patternFill patternType="solid">
        <fgColor rgb="00EFEBE9"/>
      </patternFill>
    </fill>
    <fill>
      <patternFill patternType="solid">
        <fgColor rgb="00FED7D7"/>
      </patternFill>
    </fill>
    <fill>
      <patternFill patternType="solid">
        <fgColor rgb="00FEFCBF"/>
      </patternFill>
    </fill>
    <fill>
      <patternFill patternType="solid">
        <fgColor rgb="00EBF4FF"/>
      </patternFill>
    </fill>
    <fill>
      <patternFill patternType="solid">
        <fgColor rgb="00BEE3F8"/>
      </patternFill>
    </fill>
    <fill>
      <patternFill patternType="solid">
        <fgColor rgb="00FFF3CD"/>
      </patternFill>
    </fill>
    <fill>
      <patternFill patternType="solid">
        <fgColor rgb="00C6F6D5"/>
      </patternFill>
    </fill>
    <fill>
      <patternFill patternType="solid">
        <fgColor rgb="001C1C1C"/>
      </patternFill>
    </fill>
    <fill>
      <patternFill patternType="solid">
        <fgColor rgb="00E2E8F0"/>
      </patternFill>
    </fill>
    <fill>
      <patternFill patternType="solid">
        <fgColor rgb="00E8F4FD"/>
      </patternFill>
    </fill>
    <fill>
      <patternFill patternType="solid">
        <fgColor rgb="00E8FDF5"/>
      </patternFill>
    </fill>
    <fill>
      <patternFill patternType="solid">
        <fgColor rgb="00FEF9EE"/>
      </patternFill>
    </fill>
    <fill>
      <patternFill patternType="solid">
        <fgColor rgb="00FFF9E6"/>
      </patternFill>
    </fill>
  </fills>
  <borders count="11">
    <border>
      <left/>
      <right/>
      <top/>
      <bottom/>
      <diagonal/>
    </border>
    <border>
      <left style="thin">
        <color rgb="00CBD5E0"/>
      </left>
      <right style="thin">
        <color rgb="00CBD5E0"/>
      </right>
      <top style="thin">
        <color rgb="00CBD5E0"/>
      </top>
      <bottom style="thin">
        <color rgb="00CBD5E0"/>
      </bottom>
    </border>
    <border>
      <left style="medium">
        <color rgb="00CC0000"/>
      </left>
      <right style="medium">
        <color rgb="00CC0000"/>
      </right>
      <top style="medium">
        <color rgb="00CC0000"/>
      </top>
      <bottom style="medium">
        <color rgb="00CC0000"/>
      </bottom>
    </border>
    <border>
      <left/>
      <right/>
      <top style="thin">
        <color rgb="00CBD5E0"/>
      </top>
      <bottom style="thin">
        <color rgb="00CBD5E0"/>
      </bottom>
      <diagonal/>
    </border>
    <border>
      <left/>
      <right style="thin">
        <color rgb="00CBD5E0"/>
      </right>
      <top style="thin">
        <color rgb="00CBD5E0"/>
      </top>
      <bottom style="thin">
        <color rgb="00CBD5E0"/>
      </bottom>
      <diagonal/>
    </border>
    <border>
      <left/>
      <right/>
      <top style="thin">
        <color rgb="00CBD5E0"/>
      </top>
      <bottom/>
      <diagonal/>
    </border>
    <border>
      <left/>
      <right style="thin">
        <color rgb="00CBD5E0"/>
      </right>
      <top style="thin">
        <color rgb="00CBD5E0"/>
      </top>
      <bottom/>
      <diagonal/>
    </border>
    <border>
      <left style="medium">
        <color rgb="00D4AF37"/>
      </left>
      <right style="medium">
        <color rgb="00D4AF37"/>
      </right>
      <top style="medium">
        <color rgb="00D4AF37"/>
      </top>
      <bottom style="medium">
        <color rgb="00D4AF37"/>
      </bottom>
    </border>
    <border>
      <left style="thin">
        <color rgb="00CBD5E0"/>
      </left>
      <right style="thin">
        <color rgb="00CBD5E0"/>
      </right>
      <top/>
      <bottom/>
      <diagonal/>
    </border>
    <border>
      <left style="thin">
        <color rgb="00CBD5E0"/>
      </left>
      <right style="thin">
        <color rgb="00CBD5E0"/>
      </right>
      <top/>
      <bottom style="thin">
        <color rgb="00CBD5E0"/>
      </bottom>
      <diagonal/>
    </border>
    <border>
      <left style="thin">
        <color rgb="00CBD5E0"/>
      </left>
      <right/>
      <top/>
      <bottom/>
      <diagonal/>
    </border>
  </borders>
  <cellStyleXfs count="1">
    <xf numFmtId="0" fontId="0" fillId="0" borderId="0"/>
  </cellStyleXfs>
  <cellXfs count="229">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0" applyAlignment="1" pivotButton="0" quotePrefix="0" xfId="0">
      <alignment horizontal="left" vertical="center" wrapText="1"/>
    </xf>
    <xf numFmtId="0" fontId="4" fillId="5" borderId="0" applyAlignment="1" pivotButton="0" quotePrefix="0" xfId="0">
      <alignment horizontal="left" vertical="center" wrapText="1"/>
    </xf>
    <xf numFmtId="0" fontId="5" fillId="6"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7" fillId="7" borderId="0" applyAlignment="1" pivotButton="0" quotePrefix="0" xfId="0">
      <alignment horizontal="left" vertical="center" wrapText="1"/>
    </xf>
    <xf numFmtId="0" fontId="7" fillId="9"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3" borderId="0" applyAlignment="1" pivotButton="0" quotePrefix="0" xfId="0">
      <alignment horizontal="left" vertical="center" wrapText="1"/>
    </xf>
    <xf numFmtId="0" fontId="11" fillId="4" borderId="0" applyAlignment="1" pivotButton="0" quotePrefix="0" xfId="0">
      <alignment horizontal="right" vertical="center" wrapText="1"/>
    </xf>
    <xf numFmtId="0" fontId="12" fillId="7" borderId="2" applyAlignment="1" pivotButton="0" quotePrefix="0" xfId="0">
      <alignment horizontal="center" vertical="center" wrapText="1"/>
    </xf>
    <xf numFmtId="0" fontId="13" fillId="10" borderId="0" applyAlignment="1" pivotButton="0" quotePrefix="0" xfId="0">
      <alignment horizontal="left" vertical="center" wrapText="1"/>
    </xf>
    <xf numFmtId="0" fontId="14" fillId="6" borderId="0" applyAlignment="1" pivotButton="0" quotePrefix="0" xfId="0">
      <alignment horizontal="left" vertical="center" wrapText="1"/>
    </xf>
    <xf numFmtId="0" fontId="4" fillId="3" borderId="0" applyAlignment="1" pivotButton="0" quotePrefix="0" xfId="0">
      <alignment horizontal="left" vertical="center" wrapText="1"/>
    </xf>
    <xf numFmtId="0" fontId="4" fillId="10" borderId="0" applyAlignment="1" pivotButton="0" quotePrefix="0" xfId="0">
      <alignment horizontal="left" vertical="center" wrapText="1"/>
    </xf>
    <xf numFmtId="0" fontId="7" fillId="7" borderId="1" applyAlignment="1" pivotButton="0" quotePrefix="0" xfId="0">
      <alignment horizontal="left" vertical="top" wrapText="1"/>
    </xf>
    <xf numFmtId="0" fontId="4" fillId="11" borderId="0" applyAlignment="1" pivotButton="0" quotePrefix="0" xfId="0">
      <alignment horizontal="left" vertical="center" wrapText="1"/>
    </xf>
    <xf numFmtId="0" fontId="4" fillId="12" borderId="0" applyAlignment="1" pivotButton="0" quotePrefix="0" xfId="0">
      <alignment horizontal="left" vertical="center" wrapText="1"/>
    </xf>
    <xf numFmtId="0" fontId="4" fillId="13" borderId="0" applyAlignment="1" pivotButton="0" quotePrefix="0" xfId="0">
      <alignment horizontal="left" vertical="center" wrapText="1"/>
    </xf>
    <xf numFmtId="0" fontId="4" fillId="14" borderId="0" applyAlignment="1" pivotButton="0" quotePrefix="0" xfId="0">
      <alignment horizontal="left" vertical="center" wrapText="1"/>
    </xf>
    <xf numFmtId="0" fontId="4" fillId="15" borderId="0" applyAlignment="1" pivotButton="0" quotePrefix="0" xfId="0">
      <alignment horizontal="left" vertical="center" wrapText="1"/>
    </xf>
    <xf numFmtId="0" fontId="15"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17" fillId="7" borderId="0" applyAlignment="1" pivotButton="0" quotePrefix="0" xfId="0">
      <alignment horizontal="left" vertical="center" wrapText="1"/>
    </xf>
    <xf numFmtId="0" fontId="17" fillId="7" borderId="0" applyAlignment="1" pivotButton="0" quotePrefix="0" xfId="0">
      <alignment horizontal="center" vertical="center" wrapText="1"/>
    </xf>
    <xf numFmtId="0" fontId="18" fillId="6" borderId="1" applyAlignment="1" pivotButton="0" quotePrefix="0" xfId="0">
      <alignment horizontal="left" vertical="center"/>
    </xf>
    <xf numFmtId="0" fontId="19" fillId="16" borderId="1" applyAlignment="1" pivotButton="0" quotePrefix="0" xfId="0">
      <alignment horizontal="left" vertical="center" wrapText="1"/>
    </xf>
    <xf numFmtId="0" fontId="13" fillId="2" borderId="0" applyAlignment="1" pivotButton="0" quotePrefix="0" xfId="0">
      <alignment horizontal="left" vertical="center"/>
    </xf>
    <xf numFmtId="0" fontId="20" fillId="3" borderId="0" applyAlignment="1" pivotButton="0" quotePrefix="0" xfId="0">
      <alignment horizontal="left" vertical="center"/>
    </xf>
    <xf numFmtId="0" fontId="0" fillId="4" borderId="0" pivotButton="0" quotePrefix="0" xfId="0"/>
    <xf numFmtId="0" fontId="21" fillId="3" borderId="1" applyAlignment="1" pivotButton="0" quotePrefix="0" xfId="0">
      <alignment horizontal="center" vertical="center" wrapText="1"/>
    </xf>
    <xf numFmtId="0" fontId="4" fillId="10" borderId="1" applyAlignment="1" pivotButton="0" quotePrefix="0" xfId="0">
      <alignment horizontal="center" vertical="center" wrapText="1"/>
    </xf>
    <xf numFmtId="0" fontId="22" fillId="6" borderId="1" applyAlignment="1" pivotButton="0" quotePrefix="0" xfId="0">
      <alignment horizontal="left" vertical="center" wrapText="1"/>
    </xf>
    <xf numFmtId="0" fontId="23" fillId="17" borderId="1" applyAlignment="1" pivotButton="0" quotePrefix="0" xfId="0">
      <alignment horizontal="left" vertical="center" wrapText="1"/>
    </xf>
    <xf numFmtId="0" fontId="24" fillId="8" borderId="1" applyAlignment="1" pivotButton="0" quotePrefix="0" xfId="0">
      <alignment horizontal="left" vertical="center" wrapText="1"/>
    </xf>
    <xf numFmtId="0" fontId="4" fillId="18" borderId="1" applyAlignment="1" pivotButton="0" quotePrefix="0" xfId="0">
      <alignment horizontal="center" vertical="center" wrapText="1"/>
    </xf>
    <xf numFmtId="0" fontId="22" fillId="7" borderId="1" applyAlignment="1" pivotButton="0" quotePrefix="0" xfId="0">
      <alignment horizontal="left" vertical="center" wrapText="1"/>
    </xf>
    <xf numFmtId="0" fontId="4" fillId="13" borderId="1" applyAlignment="1" pivotButton="0" quotePrefix="0" xfId="0">
      <alignment horizontal="center" vertical="center" wrapText="1"/>
    </xf>
    <xf numFmtId="0" fontId="4" fillId="19" borderId="1" applyAlignment="1" pivotButton="0" quotePrefix="0" xfId="0">
      <alignment horizontal="center" vertical="center" wrapText="1"/>
    </xf>
    <xf numFmtId="0" fontId="4" fillId="20" borderId="1" applyAlignment="1" pivotButton="0" quotePrefix="0" xfId="0">
      <alignment horizontal="center" vertical="center" wrapText="1"/>
    </xf>
    <xf numFmtId="0" fontId="4" fillId="21" borderId="1" applyAlignment="1" pivotButton="0" quotePrefix="0" xfId="0">
      <alignment horizontal="center" vertical="center" wrapText="1"/>
    </xf>
    <xf numFmtId="0" fontId="13" fillId="2" borderId="0" applyAlignment="1" pivotButton="0" quotePrefix="0" xfId="0">
      <alignment horizontal="left" vertical="center"/>
    </xf>
    <xf numFmtId="0" fontId="2" fillId="3" borderId="0" applyAlignment="1" pivotButton="0" quotePrefix="0" xfId="0">
      <alignment horizontal="left" vertical="center"/>
    </xf>
    <xf numFmtId="0" fontId="4" fillId="5" borderId="0" applyAlignment="1" pivotButton="0" quotePrefix="0" xfId="0">
      <alignment horizontal="left" vertical="center"/>
    </xf>
    <xf numFmtId="0" fontId="25" fillId="3" borderId="1" applyAlignment="1" pivotButton="0" quotePrefix="0" xfId="0">
      <alignment horizontal="center" vertical="center" wrapText="1"/>
    </xf>
    <xf numFmtId="0" fontId="26" fillId="6" borderId="1" applyAlignment="1" pivotButton="0" quotePrefix="0" xfId="0">
      <alignment horizontal="left" vertical="center" wrapText="1"/>
    </xf>
    <xf numFmtId="0" fontId="27" fillId="6" borderId="1" applyAlignment="1" pivotButton="0" quotePrefix="0" xfId="0">
      <alignment horizontal="left" vertical="center" wrapText="1"/>
    </xf>
    <xf numFmtId="0" fontId="26" fillId="7" borderId="1" applyAlignment="1" pivotButton="0" quotePrefix="0" xfId="0">
      <alignment horizontal="left" vertical="center" wrapText="1"/>
    </xf>
    <xf numFmtId="0" fontId="27" fillId="7" borderId="1" applyAlignment="1" pivotButton="0" quotePrefix="0" xfId="0">
      <alignment horizontal="left" vertical="center" wrapText="1"/>
    </xf>
    <xf numFmtId="0" fontId="4" fillId="3" borderId="0" applyAlignment="1" pivotButton="0" quotePrefix="0" xfId="0">
      <alignment horizontal="left" vertical="center"/>
    </xf>
    <xf numFmtId="0" fontId="28" fillId="22" borderId="1" applyAlignment="1" pivotButton="0" quotePrefix="0" xfId="0">
      <alignment horizontal="left" vertical="center"/>
    </xf>
    <xf numFmtId="0" fontId="29" fillId="6" borderId="1" applyAlignment="1" pivotButton="0" quotePrefix="0" xfId="0">
      <alignment horizontal="left" vertical="center"/>
    </xf>
    <xf numFmtId="0" fontId="0" fillId="0" borderId="3" pivotButton="0" quotePrefix="0" xfId="0"/>
    <xf numFmtId="0" fontId="0" fillId="0" borderId="4" pivotButton="0" quotePrefix="0" xfId="0"/>
    <xf numFmtId="0" fontId="30" fillId="6" borderId="1" applyAlignment="1" pivotButton="0" quotePrefix="0" xfId="0">
      <alignment horizontal="left" vertical="center"/>
    </xf>
    <xf numFmtId="0" fontId="29" fillId="7" borderId="1" applyAlignment="1" pivotButton="0" quotePrefix="0" xfId="0">
      <alignment horizontal="left" vertical="center"/>
    </xf>
    <xf numFmtId="0" fontId="31" fillId="23" borderId="1" applyAlignment="1" pivotButton="0" quotePrefix="0" xfId="0">
      <alignment horizontal="left" vertical="center"/>
    </xf>
    <xf numFmtId="0" fontId="32" fillId="24" borderId="1" applyAlignment="1" pivotButton="0" quotePrefix="0" xfId="0">
      <alignment horizontal="left" vertical="center"/>
    </xf>
    <xf numFmtId="0" fontId="33" fillId="25" borderId="1" applyAlignment="1" pivotButton="0" quotePrefix="0" xfId="0">
      <alignment horizontal="left" vertical="center"/>
    </xf>
    <xf numFmtId="0" fontId="34" fillId="26" borderId="1" applyAlignment="1" pivotButton="0" quotePrefix="0" xfId="0">
      <alignment horizontal="left" vertical="center"/>
    </xf>
    <xf numFmtId="0" fontId="35" fillId="27" borderId="1" applyAlignment="1" pivotButton="0" quotePrefix="0" xfId="0">
      <alignment horizontal="left" vertical="center"/>
    </xf>
    <xf numFmtId="0" fontId="36" fillId="28" borderId="1" applyAlignment="1" pivotButton="0" quotePrefix="0" xfId="0">
      <alignment horizontal="left" vertical="center"/>
    </xf>
    <xf numFmtId="0" fontId="37" fillId="29" borderId="1" applyAlignment="1" pivotButton="0" quotePrefix="0" xfId="0">
      <alignment horizontal="left" vertical="center"/>
    </xf>
    <xf numFmtId="0" fontId="38" fillId="30" borderId="1" applyAlignment="1" pivotButton="0" quotePrefix="0" xfId="0">
      <alignment horizontal="left" vertical="center"/>
    </xf>
    <xf numFmtId="0" fontId="28" fillId="22" borderId="1" applyAlignment="1" pivotButton="0" quotePrefix="0" xfId="0">
      <alignment horizontal="center" vertical="center" wrapText="1"/>
    </xf>
    <xf numFmtId="0" fontId="28" fillId="22" borderId="1" applyAlignment="1" pivotButton="0" quotePrefix="0" xfId="0">
      <alignment horizontal="left" vertical="center" wrapText="1"/>
    </xf>
    <xf numFmtId="0" fontId="29" fillId="6" borderId="1" applyAlignment="1" pivotButton="0" quotePrefix="0" xfId="0">
      <alignment horizontal="left" vertical="center" wrapText="1"/>
    </xf>
    <xf numFmtId="0" fontId="39" fillId="31" borderId="1" applyAlignment="1" pivotButton="0" quotePrefix="0" xfId="0">
      <alignment horizontal="center" vertical="center" wrapText="1"/>
    </xf>
    <xf numFmtId="0" fontId="39" fillId="31" borderId="1" applyAlignment="1" pivotButton="0" quotePrefix="0" xfId="0">
      <alignment horizontal="left" vertical="center" wrapText="1"/>
    </xf>
    <xf numFmtId="0" fontId="29" fillId="7" borderId="1" applyAlignment="1" pivotButton="0" quotePrefix="0" xfId="0">
      <alignment horizontal="left" vertical="center" wrapText="1"/>
    </xf>
    <xf numFmtId="0" fontId="31" fillId="23" borderId="1" applyAlignment="1" pivotButton="0" quotePrefix="0" xfId="0">
      <alignment horizontal="center" vertical="center" wrapText="1"/>
    </xf>
    <xf numFmtId="0" fontId="31" fillId="23" borderId="1" applyAlignment="1" pivotButton="0" quotePrefix="0" xfId="0">
      <alignment horizontal="left" vertical="center" wrapText="1"/>
    </xf>
    <xf numFmtId="0" fontId="32" fillId="24" borderId="1" applyAlignment="1" pivotButton="0" quotePrefix="0" xfId="0">
      <alignment horizontal="center" vertical="center" wrapText="1"/>
    </xf>
    <xf numFmtId="0" fontId="32" fillId="24" borderId="1" applyAlignment="1" pivotButton="0" quotePrefix="0" xfId="0">
      <alignment horizontal="left" vertical="center" wrapText="1"/>
    </xf>
    <xf numFmtId="0" fontId="33" fillId="25" borderId="1" applyAlignment="1" pivotButton="0" quotePrefix="0" xfId="0">
      <alignment horizontal="center" vertical="center" wrapText="1"/>
    </xf>
    <xf numFmtId="0" fontId="33" fillId="25" borderId="1" applyAlignment="1" pivotButton="0" quotePrefix="0" xfId="0">
      <alignment horizontal="left" vertical="center" wrapText="1"/>
    </xf>
    <xf numFmtId="0" fontId="34" fillId="26" borderId="1" applyAlignment="1" pivotButton="0" quotePrefix="0" xfId="0">
      <alignment horizontal="center" vertical="center" wrapText="1"/>
    </xf>
    <xf numFmtId="0" fontId="34" fillId="26" borderId="1" applyAlignment="1" pivotButton="0" quotePrefix="0" xfId="0">
      <alignment horizontal="left" vertical="center" wrapText="1"/>
    </xf>
    <xf numFmtId="0" fontId="30" fillId="6" borderId="1" applyAlignment="1" pivotButton="0" quotePrefix="0" xfId="0">
      <alignment horizontal="center" vertical="center" wrapText="1"/>
    </xf>
    <xf numFmtId="0" fontId="30" fillId="6" borderId="1" applyAlignment="1" pivotButton="0" quotePrefix="0" xfId="0">
      <alignment horizontal="left" vertical="center" wrapText="1"/>
    </xf>
    <xf numFmtId="0" fontId="35" fillId="27" borderId="1" applyAlignment="1" pivotButton="0" quotePrefix="0" xfId="0">
      <alignment horizontal="center" vertical="center" wrapText="1"/>
    </xf>
    <xf numFmtId="0" fontId="35" fillId="27" borderId="1" applyAlignment="1" pivotButton="0" quotePrefix="0" xfId="0">
      <alignment horizontal="left" vertical="center" wrapText="1"/>
    </xf>
    <xf numFmtId="0" fontId="36" fillId="28" borderId="1" applyAlignment="1" pivotButton="0" quotePrefix="0" xfId="0">
      <alignment horizontal="center" vertical="center" wrapText="1"/>
    </xf>
    <xf numFmtId="0" fontId="36" fillId="28" borderId="1" applyAlignment="1" pivotButton="0" quotePrefix="0" xfId="0">
      <alignment horizontal="left" vertical="center" wrapText="1"/>
    </xf>
    <xf numFmtId="0" fontId="37" fillId="29" borderId="1" applyAlignment="1" pivotButton="0" quotePrefix="0" xfId="0">
      <alignment horizontal="center" vertical="center" wrapText="1"/>
    </xf>
    <xf numFmtId="0" fontId="37" fillId="29" borderId="1" applyAlignment="1" pivotButton="0" quotePrefix="0" xfId="0">
      <alignment horizontal="left" vertical="center" wrapText="1"/>
    </xf>
    <xf numFmtId="0" fontId="40" fillId="32" borderId="1" applyAlignment="1" pivotButton="0" quotePrefix="0" xfId="0">
      <alignment horizontal="center" vertical="center" wrapText="1"/>
    </xf>
    <xf numFmtId="0" fontId="40" fillId="32" borderId="1" applyAlignment="1" pivotButton="0" quotePrefix="0" xfId="0">
      <alignment horizontal="left" vertical="center" wrapText="1"/>
    </xf>
    <xf numFmtId="0" fontId="38" fillId="30" borderId="1" applyAlignment="1" pivotButton="0" quotePrefix="0" xfId="0">
      <alignment horizontal="center" vertical="center" wrapText="1"/>
    </xf>
    <xf numFmtId="0" fontId="38" fillId="30" borderId="1" applyAlignment="1" pivotButton="0" quotePrefix="0" xfId="0">
      <alignment horizontal="left" vertical="center" wrapText="1"/>
    </xf>
    <xf numFmtId="0" fontId="41" fillId="2" borderId="0" applyAlignment="1" pivotButton="0" quotePrefix="0" xfId="0">
      <alignment horizontal="left" vertical="center"/>
    </xf>
    <xf numFmtId="0" fontId="20" fillId="3" borderId="0" applyAlignment="1" pivotButton="0" quotePrefix="0" xfId="0">
      <alignment horizontal="left" vertical="center"/>
    </xf>
    <xf numFmtId="0" fontId="25" fillId="10" borderId="1" applyAlignment="1" pivotButton="0" quotePrefix="0" xfId="0">
      <alignment horizontal="center" vertical="center" wrapText="1"/>
    </xf>
    <xf numFmtId="0" fontId="42" fillId="22" borderId="1" applyAlignment="1" pivotButton="0" quotePrefix="0" xfId="0">
      <alignment horizontal="left" vertical="center"/>
    </xf>
    <xf numFmtId="0" fontId="43" fillId="9" borderId="1" applyAlignment="1" pivotButton="0" quotePrefix="0" xfId="0">
      <alignment horizontal="center" vertical="center"/>
    </xf>
    <xf numFmtId="0" fontId="44" fillId="8" borderId="1" applyAlignment="1" pivotButton="0" quotePrefix="0" xfId="0">
      <alignment horizontal="center" vertical="center"/>
    </xf>
    <xf numFmtId="0" fontId="45" fillId="31" borderId="1" applyAlignment="1" pivotButton="0" quotePrefix="0" xfId="0">
      <alignment horizontal="left" vertical="center"/>
    </xf>
    <xf numFmtId="0" fontId="23" fillId="23" borderId="1" applyAlignment="1" pivotButton="0" quotePrefix="0" xfId="0">
      <alignment horizontal="left" vertical="center"/>
    </xf>
    <xf numFmtId="0" fontId="46" fillId="16" borderId="1" applyAlignment="1" pivotButton="0" quotePrefix="0" xfId="0">
      <alignment horizontal="center" vertical="center"/>
    </xf>
    <xf numFmtId="0" fontId="47" fillId="24" borderId="1" applyAlignment="1" pivotButton="0" quotePrefix="0" xfId="0">
      <alignment horizontal="left" vertical="center"/>
    </xf>
    <xf numFmtId="0" fontId="48" fillId="25" borderId="1" applyAlignment="1" pivotButton="0" quotePrefix="0" xfId="0">
      <alignment horizontal="left" vertical="center"/>
    </xf>
    <xf numFmtId="0" fontId="49" fillId="26" borderId="1" applyAlignment="1" pivotButton="0" quotePrefix="0" xfId="0">
      <alignment horizontal="left" vertical="center"/>
    </xf>
    <xf numFmtId="0" fontId="50" fillId="6" borderId="1" applyAlignment="1" pivotButton="0" quotePrefix="0" xfId="0">
      <alignment horizontal="left" vertical="center"/>
    </xf>
    <xf numFmtId="0" fontId="51" fillId="27" borderId="1" applyAlignment="1" pivotButton="0" quotePrefix="0" xfId="0">
      <alignment horizontal="left" vertical="center"/>
    </xf>
    <xf numFmtId="0" fontId="52" fillId="28" borderId="1" applyAlignment="1" pivotButton="0" quotePrefix="0" xfId="0">
      <alignment horizontal="left" vertical="center"/>
    </xf>
    <xf numFmtId="0" fontId="53" fillId="29" borderId="1" applyAlignment="1" pivotButton="0" quotePrefix="0" xfId="0">
      <alignment horizontal="left" vertical="center"/>
    </xf>
    <xf numFmtId="0" fontId="54" fillId="32" borderId="1" applyAlignment="1" pivotButton="0" quotePrefix="0" xfId="0">
      <alignment horizontal="left" vertical="center"/>
    </xf>
    <xf numFmtId="0" fontId="55" fillId="30" borderId="1" applyAlignment="1" pivotButton="0" quotePrefix="0" xfId="0">
      <alignment horizontal="left" vertical="center"/>
    </xf>
    <xf numFmtId="0" fontId="56" fillId="2" borderId="0" applyAlignment="1" pivotButton="0" quotePrefix="0" xfId="0">
      <alignment horizontal="left" vertical="center"/>
    </xf>
    <xf numFmtId="0" fontId="10" fillId="3" borderId="0" applyAlignment="1" pivotButton="0" quotePrefix="0" xfId="0">
      <alignment horizontal="left" vertical="center"/>
    </xf>
    <xf numFmtId="0" fontId="57" fillId="10" borderId="0" applyAlignment="1" pivotButton="0" quotePrefix="0" xfId="0">
      <alignment horizontal="left" vertical="center"/>
    </xf>
    <xf numFmtId="0" fontId="25" fillId="5" borderId="0" applyAlignment="1" pivotButton="0" quotePrefix="0" xfId="0">
      <alignment horizontal="left" vertical="center"/>
    </xf>
    <xf numFmtId="0" fontId="58" fillId="3" borderId="0" applyAlignment="1" pivotButton="0" quotePrefix="0" xfId="0">
      <alignment horizontal="left" vertical="center"/>
    </xf>
    <xf numFmtId="0" fontId="58" fillId="10" borderId="0" applyAlignment="1" pivotButton="0" quotePrefix="0" xfId="0">
      <alignment horizontal="left" vertical="center"/>
    </xf>
    <xf numFmtId="0" fontId="59" fillId="6" borderId="0" applyAlignment="1" pivotButton="0" quotePrefix="0" xfId="0">
      <alignment horizontal="left" vertical="center" wrapText="1"/>
    </xf>
    <xf numFmtId="0" fontId="25" fillId="3" borderId="7" applyAlignment="1" pivotButton="0" quotePrefix="0" xfId="0">
      <alignment horizontal="center" vertical="center" wrapText="1"/>
    </xf>
    <xf numFmtId="0" fontId="25" fillId="12" borderId="7" applyAlignment="1" pivotButton="0" quotePrefix="0" xfId="0">
      <alignment horizontal="center" vertical="center" wrapText="1"/>
    </xf>
    <xf numFmtId="0" fontId="60" fillId="33" borderId="1" applyAlignment="1" pivotButton="0" quotePrefix="0" xfId="0">
      <alignment horizontal="center" vertical="center" wrapText="1"/>
    </xf>
    <xf numFmtId="0" fontId="6" fillId="17" borderId="1" applyAlignment="1" pivotButton="0" quotePrefix="0" xfId="0">
      <alignment horizontal="left" vertical="center" wrapText="1"/>
    </xf>
    <xf numFmtId="0" fontId="61" fillId="34" borderId="1" applyAlignment="1" pivotButton="0" quotePrefix="0" xfId="0">
      <alignment horizontal="center" vertical="center" wrapText="1"/>
    </xf>
    <xf numFmtId="0" fontId="62" fillId="16" borderId="1" applyAlignment="1" pivotButton="0" quotePrefix="0" xfId="0">
      <alignment horizontal="left" vertical="center" wrapText="1"/>
    </xf>
    <xf numFmtId="0" fontId="63" fillId="35" borderId="1" applyAlignment="1" pivotButton="0" quotePrefix="0" xfId="0">
      <alignment horizontal="left" vertical="center" wrapText="1"/>
    </xf>
    <xf numFmtId="0" fontId="61" fillId="33" borderId="1" applyAlignment="1" pivotButton="0" quotePrefix="0" xfId="0">
      <alignment horizontal="center" vertical="center" wrapText="1"/>
    </xf>
    <xf numFmtId="0" fontId="61" fillId="36" borderId="1" applyAlignment="1" pivotButton="0" quotePrefix="0" xfId="0">
      <alignment horizontal="center" vertical="center" wrapText="1"/>
    </xf>
    <xf numFmtId="0" fontId="64" fillId="34" borderId="1" applyAlignment="1" pivotButton="0" quotePrefix="0" xfId="0">
      <alignment horizontal="center" vertical="center" wrapText="1"/>
    </xf>
    <xf numFmtId="0" fontId="6" fillId="8" borderId="1" applyAlignment="1" pivotButton="0" quotePrefix="0" xfId="0">
      <alignment horizontal="left" vertical="center" wrapText="1"/>
    </xf>
    <xf numFmtId="0" fontId="61" fillId="37" borderId="1" applyAlignment="1" pivotButton="0" quotePrefix="0" xfId="0">
      <alignment horizontal="center" vertical="center" wrapText="1"/>
    </xf>
    <xf numFmtId="0" fontId="65" fillId="16" borderId="0" applyAlignment="1" pivotButton="0" quotePrefix="0" xfId="0">
      <alignment horizontal="left" vertical="center"/>
    </xf>
    <xf numFmtId="0" fontId="61" fillId="38" borderId="1" applyAlignment="1" pivotButton="0" quotePrefix="0" xfId="0">
      <alignment horizontal="center" vertical="center" wrapText="1"/>
    </xf>
    <xf numFmtId="0" fontId="66" fillId="3" borderId="0" applyAlignment="1" pivotButton="0" quotePrefix="0" xfId="0">
      <alignment horizontal="left" vertical="center"/>
    </xf>
    <xf numFmtId="0" fontId="25" fillId="10" borderId="0" applyAlignment="1" pivotButton="0" quotePrefix="0" xfId="0">
      <alignment horizontal="left" vertical="center"/>
    </xf>
    <xf numFmtId="0" fontId="67" fillId="7" borderId="1" applyAlignment="1" pivotButton="0" quotePrefix="0" xfId="0">
      <alignment horizontal="left" vertical="center" wrapText="1"/>
    </xf>
    <xf numFmtId="0" fontId="25" fillId="12" borderId="0" applyAlignment="1" pivotButton="0" quotePrefix="0" xfId="0">
      <alignment horizontal="left" vertical="center"/>
    </xf>
    <xf numFmtId="0" fontId="68" fillId="6" borderId="1" applyAlignment="1" pivotButton="0" quotePrefix="0" xfId="0">
      <alignment horizontal="left" vertical="center" wrapText="1"/>
    </xf>
    <xf numFmtId="0" fontId="69" fillId="9" borderId="1" applyAlignment="1" pivotButton="0" quotePrefix="0" xfId="0">
      <alignment horizontal="left" vertical="center" wrapText="1"/>
    </xf>
    <xf numFmtId="0" fontId="25" fillId="19" borderId="0" applyAlignment="1" pivotButton="0" quotePrefix="0" xfId="0">
      <alignment horizontal="left" vertical="center"/>
    </xf>
    <xf numFmtId="0" fontId="70" fillId="6" borderId="1" applyAlignment="1" pivotButton="0" quotePrefix="0" xfId="0">
      <alignment horizontal="left" vertical="center" wrapText="1"/>
    </xf>
    <xf numFmtId="0" fontId="22" fillId="9" borderId="1" applyAlignment="1" pivotButton="0" quotePrefix="0" xfId="0">
      <alignment horizontal="left" vertical="center" wrapText="1"/>
    </xf>
    <xf numFmtId="0" fontId="71" fillId="38" borderId="1" applyAlignment="1" pivotButton="0" quotePrefix="0" xfId="0">
      <alignment horizontal="left" vertical="center" wrapText="1"/>
    </xf>
    <xf numFmtId="0" fontId="70" fillId="7" borderId="1" applyAlignment="1" pivotButton="0" quotePrefix="0" xfId="0">
      <alignment horizontal="left" vertical="center" wrapText="1"/>
    </xf>
    <xf numFmtId="0" fontId="25" fillId="13" borderId="1" applyAlignment="1" pivotButton="0" quotePrefix="0" xfId="0">
      <alignment horizontal="center" vertical="center" wrapText="1"/>
    </xf>
    <xf numFmtId="0" fontId="29" fillId="38" borderId="1" applyAlignment="1" pivotButton="0" quotePrefix="0" xfId="0">
      <alignment horizontal="left" vertical="center" wrapText="1"/>
    </xf>
    <xf numFmtId="0" fontId="25" fillId="15" borderId="1" applyAlignment="1" pivotButton="0" quotePrefix="0" xfId="0">
      <alignment horizontal="center" vertical="center" wrapText="1"/>
    </xf>
    <xf numFmtId="0" fontId="29" fillId="34" borderId="1" applyAlignment="1" pivotButton="0" quotePrefix="0" xfId="0">
      <alignment horizontal="left" vertical="center" wrapText="1"/>
    </xf>
    <xf numFmtId="0" fontId="25" fillId="11" borderId="1" applyAlignment="1" pivotButton="0" quotePrefix="0" xfId="0">
      <alignment horizontal="center" vertical="center" wrapText="1"/>
    </xf>
    <xf numFmtId="0" fontId="29" fillId="33" borderId="1" applyAlignment="1" pivotButton="0" quotePrefix="0" xfId="0">
      <alignment horizontal="left" vertical="center" wrapText="1"/>
    </xf>
    <xf numFmtId="0" fontId="25" fillId="39" borderId="1" applyAlignment="1" pivotButton="0" quotePrefix="0" xfId="0">
      <alignment horizontal="center" vertical="center" wrapText="1"/>
    </xf>
    <xf numFmtId="0" fontId="29" fillId="40" borderId="1" applyAlignment="1" pivotButton="0" quotePrefix="0" xfId="0">
      <alignment horizontal="left" vertical="center" wrapText="1"/>
    </xf>
    <xf numFmtId="0" fontId="50" fillId="6" borderId="1" applyAlignment="1" pivotButton="0" quotePrefix="0" xfId="0">
      <alignment horizontal="left" vertical="center" wrapText="1"/>
    </xf>
    <xf numFmtId="0" fontId="50" fillId="7" borderId="1" applyAlignment="1" pivotButton="0" quotePrefix="0" xfId="0">
      <alignment horizontal="left" vertical="center" wrapText="1"/>
    </xf>
    <xf numFmtId="0" fontId="69" fillId="9" borderId="0" applyAlignment="1" pivotButton="0" quotePrefix="0" xfId="0">
      <alignment horizontal="left" vertical="center"/>
    </xf>
    <xf numFmtId="0" fontId="72" fillId="3" borderId="0" applyAlignment="1" pivotButton="0" quotePrefix="0" xfId="0">
      <alignment horizontal="left" vertical="center"/>
    </xf>
    <xf numFmtId="0" fontId="58" fillId="3" borderId="7" applyAlignment="1" pivotButton="0" quotePrefix="0" xfId="0">
      <alignment horizontal="center" vertical="center" wrapText="1"/>
    </xf>
    <xf numFmtId="0" fontId="58" fillId="12" borderId="7" applyAlignment="1" pivotButton="0" quotePrefix="0" xfId="0">
      <alignment horizontal="center" vertical="center" wrapText="1"/>
    </xf>
    <xf numFmtId="0" fontId="73" fillId="41" borderId="1" applyAlignment="1" pivotButton="0" quotePrefix="0" xfId="0">
      <alignment horizontal="center" vertical="center" wrapText="1"/>
    </xf>
    <xf numFmtId="0" fontId="74" fillId="41" borderId="1" applyAlignment="1" pivotButton="0" quotePrefix="0" xfId="0">
      <alignment horizontal="center" vertical="center"/>
    </xf>
    <xf numFmtId="0" fontId="75" fillId="7" borderId="1" applyAlignment="1" pivotButton="0" quotePrefix="0" xfId="0">
      <alignment horizontal="left" vertical="center" wrapText="1"/>
    </xf>
    <xf numFmtId="0" fontId="76" fillId="9" borderId="1" applyAlignment="1" pivotButton="0" quotePrefix="0" xfId="0">
      <alignment horizontal="left" vertical="center" wrapText="1"/>
    </xf>
    <xf numFmtId="0" fontId="22" fillId="8" borderId="1" applyAlignment="1" pivotButton="0" quotePrefix="0" xfId="0">
      <alignment horizontal="left" vertical="center" wrapText="1"/>
    </xf>
    <xf numFmtId="0" fontId="77" fillId="17" borderId="1" applyAlignment="1" pivotButton="0" quotePrefix="0" xfId="0">
      <alignment horizontal="left" vertical="center" wrapText="1"/>
    </xf>
    <xf numFmtId="0" fontId="78" fillId="16" borderId="1" applyAlignment="1" pivotButton="0" quotePrefix="0" xfId="0">
      <alignment horizontal="left" vertical="center" wrapText="1"/>
    </xf>
    <xf numFmtId="0" fontId="0" fillId="0" borderId="8" pivotButton="0" quotePrefix="0" xfId="0"/>
    <xf numFmtId="0" fontId="0" fillId="0" borderId="9" pivotButton="0" quotePrefix="0" xfId="0"/>
    <xf numFmtId="0" fontId="23" fillId="33" borderId="1" applyAlignment="1" pivotButton="0" quotePrefix="0" xfId="0">
      <alignment horizontal="left" vertical="center" wrapText="1"/>
    </xf>
    <xf numFmtId="0" fontId="71" fillId="9" borderId="1" applyAlignment="1" pivotButton="0" quotePrefix="0" xfId="0">
      <alignment horizontal="center" vertical="center" wrapText="1"/>
    </xf>
    <xf numFmtId="0" fontId="79" fillId="9" borderId="1" applyAlignment="1" pivotButton="0" quotePrefix="0" xfId="0">
      <alignment horizontal="center" vertical="center"/>
    </xf>
    <xf numFmtId="0" fontId="64" fillId="8" borderId="1" applyAlignment="1" pivotButton="0" quotePrefix="0" xfId="0">
      <alignment horizontal="center" vertical="center" wrapText="1"/>
    </xf>
    <xf numFmtId="0" fontId="80" fillId="8" borderId="1" applyAlignment="1" pivotButton="0" quotePrefix="0" xfId="0">
      <alignment horizontal="center" vertical="center"/>
    </xf>
    <xf numFmtId="0" fontId="60" fillId="17" borderId="1" applyAlignment="1" pivotButton="0" quotePrefix="0" xfId="0">
      <alignment horizontal="center" vertical="center" wrapText="1"/>
    </xf>
    <xf numFmtId="0" fontId="81" fillId="17" borderId="1" applyAlignment="1" pivotButton="0" quotePrefix="0" xfId="0">
      <alignment horizontal="center" vertical="center"/>
    </xf>
    <xf numFmtId="0" fontId="82" fillId="31" borderId="1" applyAlignment="1" pivotButton="0" quotePrefix="0" xfId="0">
      <alignment horizontal="center" vertical="center" wrapText="1"/>
    </xf>
    <xf numFmtId="0" fontId="83" fillId="31" borderId="1" applyAlignment="1" pivotButton="0" quotePrefix="0" xfId="0">
      <alignment horizontal="center" vertical="center"/>
    </xf>
    <xf numFmtId="0" fontId="84" fillId="42" borderId="1" applyAlignment="1" pivotButton="0" quotePrefix="0" xfId="0">
      <alignment horizontal="center" vertical="center" wrapText="1"/>
    </xf>
    <xf numFmtId="0" fontId="85" fillId="42" borderId="1" applyAlignment="1" pivotButton="0" quotePrefix="0" xfId="0">
      <alignment horizontal="center" vertical="center"/>
    </xf>
    <xf numFmtId="0" fontId="86" fillId="43" borderId="1" applyAlignment="1" pivotButton="0" quotePrefix="0" xfId="0">
      <alignment horizontal="center" vertical="center" wrapText="1"/>
    </xf>
    <xf numFmtId="0" fontId="87" fillId="43" borderId="1" applyAlignment="1" pivotButton="0" quotePrefix="0" xfId="0">
      <alignment horizontal="center" vertical="center"/>
    </xf>
    <xf numFmtId="0" fontId="58" fillId="11" borderId="1" applyAlignment="1" pivotButton="0" quotePrefix="0" xfId="0">
      <alignment horizontal="center" vertical="center" wrapText="1"/>
    </xf>
    <xf numFmtId="0" fontId="88" fillId="33" borderId="1" applyAlignment="1" pivotButton="0" quotePrefix="0" xfId="0">
      <alignment horizontal="center" vertical="center" wrapText="1"/>
    </xf>
    <xf numFmtId="0" fontId="89" fillId="17" borderId="1" applyAlignment="1" pivotButton="0" quotePrefix="0" xfId="0">
      <alignment horizontal="left" vertical="center" wrapText="1"/>
    </xf>
    <xf numFmtId="0" fontId="90" fillId="7" borderId="1" applyAlignment="1" pivotButton="0" quotePrefix="0" xfId="0">
      <alignment horizontal="left" vertical="center" wrapText="1"/>
    </xf>
    <xf numFmtId="0" fontId="21" fillId="10" borderId="0" applyAlignment="1" pivotButton="0" quotePrefix="0" xfId="0">
      <alignment horizontal="left" vertical="center"/>
    </xf>
    <xf numFmtId="0" fontId="4" fillId="15" borderId="0" applyAlignment="1" pivotButton="0" quotePrefix="0" xfId="0">
      <alignment horizontal="center" vertical="center"/>
    </xf>
    <xf numFmtId="0" fontId="91" fillId="3" borderId="1" applyAlignment="1" pivotButton="0" quotePrefix="0" xfId="0">
      <alignment horizontal="center" vertical="center"/>
    </xf>
    <xf numFmtId="0" fontId="70" fillId="16" borderId="1" applyAlignment="1" pivotButton="0" quotePrefix="0" xfId="0">
      <alignment horizontal="left" vertical="center" wrapText="1"/>
    </xf>
    <xf numFmtId="0" fontId="22" fillId="16" borderId="1" applyAlignment="1" pivotButton="0" quotePrefix="0" xfId="0">
      <alignment horizontal="center" vertical="center" wrapText="1"/>
    </xf>
    <xf numFmtId="0" fontId="92" fillId="8" borderId="1" applyAlignment="1" pivotButton="0" quotePrefix="0" xfId="0">
      <alignment horizontal="center" vertical="center" wrapText="1"/>
    </xf>
    <xf numFmtId="0" fontId="78" fillId="7" borderId="1" applyAlignment="1" pivotButton="0" quotePrefix="0" xfId="0">
      <alignment horizontal="left" vertical="center" wrapText="1"/>
    </xf>
    <xf numFmtId="0" fontId="69" fillId="9" borderId="1" applyAlignment="1" pivotButton="0" quotePrefix="0" xfId="0">
      <alignment horizontal="center" vertical="center" wrapText="1"/>
    </xf>
    <xf numFmtId="0" fontId="21" fillId="15" borderId="1" applyAlignment="1" pivotButton="0" quotePrefix="0" xfId="0">
      <alignment horizontal="center" vertical="center" wrapText="1"/>
    </xf>
    <xf numFmtId="0" fontId="93" fillId="15" borderId="1" applyAlignment="1" pivotButton="0" quotePrefix="0" xfId="0">
      <alignment horizontal="center" vertical="center" wrapText="1"/>
    </xf>
    <xf numFmtId="0" fontId="4" fillId="15" borderId="1" applyAlignment="1" pivotButton="0" quotePrefix="0" xfId="0">
      <alignment horizontal="center" vertical="center" wrapText="1"/>
    </xf>
    <xf numFmtId="0" fontId="25" fillId="15" borderId="1" applyAlignment="1" pivotButton="0" quotePrefix="0" xfId="0">
      <alignment horizontal="left" vertical="center" wrapText="1"/>
    </xf>
    <xf numFmtId="0" fontId="4" fillId="11" borderId="0" applyAlignment="1" pivotButton="0" quotePrefix="0" xfId="0">
      <alignment horizontal="center" vertical="center"/>
    </xf>
    <xf numFmtId="0" fontId="94" fillId="17" borderId="1" applyAlignment="1" pivotButton="0" quotePrefix="0" xfId="0">
      <alignment horizontal="center" vertical="center" wrapText="1"/>
    </xf>
    <xf numFmtId="0" fontId="21" fillId="11" borderId="1" applyAlignment="1" pivotButton="0" quotePrefix="0" xfId="0">
      <alignment horizontal="center" vertical="center" wrapText="1"/>
    </xf>
    <xf numFmtId="0" fontId="93"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25" fillId="11" borderId="1" applyAlignment="1" pivotButton="0" quotePrefix="0" xfId="0">
      <alignment horizontal="left" vertical="center" wrapText="1"/>
    </xf>
    <xf numFmtId="0" fontId="4" fillId="39" borderId="0" applyAlignment="1" pivotButton="0" quotePrefix="0" xfId="0">
      <alignment horizontal="center" vertical="center"/>
    </xf>
    <xf numFmtId="0" fontId="21" fillId="39" borderId="1" applyAlignment="1" pivotButton="0" quotePrefix="0" xfId="0">
      <alignment horizontal="center" vertical="center" wrapText="1"/>
    </xf>
    <xf numFmtId="0" fontId="93" fillId="39" borderId="1" applyAlignment="1" pivotButton="0" quotePrefix="0" xfId="0">
      <alignment horizontal="center" vertical="center" wrapText="1"/>
    </xf>
    <xf numFmtId="0" fontId="4" fillId="39" borderId="1" applyAlignment="1" pivotButton="0" quotePrefix="0" xfId="0">
      <alignment horizontal="center" vertical="center" wrapText="1"/>
    </xf>
    <xf numFmtId="0" fontId="25" fillId="39" borderId="1" applyAlignment="1" pivotButton="0" quotePrefix="0" xfId="0">
      <alignment horizontal="left" vertical="center" wrapText="1"/>
    </xf>
    <xf numFmtId="0" fontId="4" fillId="13" borderId="0" applyAlignment="1" pivotButton="0" quotePrefix="0" xfId="0">
      <alignment horizontal="center" vertical="center"/>
    </xf>
    <xf numFmtId="0" fontId="21" fillId="13" borderId="1" applyAlignment="1" pivotButton="0" quotePrefix="0" xfId="0">
      <alignment horizontal="center" vertical="center" wrapText="1"/>
    </xf>
    <xf numFmtId="0" fontId="93" fillId="13" borderId="1" applyAlignment="1" pivotButton="0" quotePrefix="0" xfId="0">
      <alignment horizontal="center" vertical="center" wrapText="1"/>
    </xf>
    <xf numFmtId="0" fontId="25" fillId="13" borderId="1" applyAlignment="1" pivotButton="0" quotePrefix="0" xfId="0">
      <alignment horizontal="left" vertical="center" wrapText="1"/>
    </xf>
    <xf numFmtId="0" fontId="50" fillId="36" borderId="1" applyAlignment="1" pivotButton="0" quotePrefix="0" xfId="0">
      <alignment horizontal="left" vertical="center" wrapText="1"/>
    </xf>
    <xf numFmtId="0" fontId="75" fillId="6" borderId="1" applyAlignment="1" pivotButton="0" quotePrefix="0" xfId="0">
      <alignment horizontal="left" vertical="center" wrapText="1"/>
    </xf>
    <xf numFmtId="0" fontId="50" fillId="6" borderId="1" applyAlignment="1" pivotButton="0" quotePrefix="0" xfId="0">
      <alignment horizontal="center" vertical="center" wrapText="1"/>
    </xf>
    <xf numFmtId="0" fontId="50" fillId="16" borderId="1" applyAlignment="1" pivotButton="0" quotePrefix="0" xfId="0">
      <alignment horizontal="left" vertical="center" wrapText="1"/>
    </xf>
    <xf numFmtId="0" fontId="64" fillId="44" borderId="1" applyAlignment="1" pivotButton="0" quotePrefix="0" xfId="0">
      <alignment horizontal="center" vertical="center" wrapText="1"/>
    </xf>
    <xf numFmtId="0" fontId="50" fillId="7" borderId="1" applyAlignment="1" pivotButton="0" quotePrefix="0" xfId="0">
      <alignment horizontal="center" vertical="center" wrapText="1"/>
    </xf>
    <xf numFmtId="0" fontId="71" fillId="8" borderId="1" applyAlignment="1" pivotButton="0" quotePrefix="0" xfId="0">
      <alignment horizontal="center" vertical="center" wrapText="1"/>
    </xf>
    <xf numFmtId="0" fontId="93" fillId="10" borderId="0" applyAlignment="1" pivotButton="0" quotePrefix="0" xfId="0">
      <alignment horizontal="left" vertical="center"/>
    </xf>
    <xf numFmtId="0" fontId="58" fillId="3" borderId="1" applyAlignment="1" pivotButton="0" quotePrefix="0" xfId="0">
      <alignment horizontal="center" vertical="center" wrapText="1"/>
    </xf>
    <xf numFmtId="0" fontId="71" fillId="9" borderId="1" applyAlignment="1" pivotButton="0" quotePrefix="0" xfId="0">
      <alignment horizontal="left" vertical="center" wrapText="1"/>
    </xf>
    <xf numFmtId="0" fontId="95" fillId="6" borderId="1" applyAlignment="1" pivotButton="0" quotePrefix="0" xfId="0">
      <alignment horizontal="left" vertical="center" wrapText="1"/>
    </xf>
    <xf numFmtId="0" fontId="30" fillId="7" borderId="1" applyAlignment="1" pivotButton="0" quotePrefix="0" xfId="0">
      <alignment horizontal="left" vertical="center" wrapText="1"/>
    </xf>
    <xf numFmtId="0" fontId="30" fillId="7" borderId="1" applyAlignment="1" pivotButton="0" quotePrefix="0" xfId="0">
      <alignment horizontal="center" vertical="center" wrapText="1"/>
    </xf>
    <xf numFmtId="0" fontId="95" fillId="7" borderId="1" applyAlignment="1" pivotButton="0" quotePrefix="0" xfId="0">
      <alignment horizontal="left" vertical="center" wrapText="1"/>
    </xf>
    <xf numFmtId="0" fontId="93" fillId="13" borderId="0" applyAlignment="1" pivotButton="0" quotePrefix="0" xfId="0">
      <alignment horizontal="left" vertical="center"/>
    </xf>
    <xf numFmtId="0" fontId="93" fillId="12" borderId="0" applyAlignment="1" pivotButton="0" quotePrefix="0" xfId="0">
      <alignment horizontal="left" vertical="center"/>
    </xf>
    <xf numFmtId="0" fontId="4" fillId="19" borderId="0" applyAlignment="1" pivotButton="0" quotePrefix="0" xfId="0">
      <alignment horizontal="left" vertical="center"/>
    </xf>
    <xf numFmtId="0" fontId="96"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oodys.com/web/en/us/capabilities/company-reference-data/orbis.html" TargetMode="External" Id="rId1" /><Relationship Type="http://schemas.openxmlformats.org/officeDocument/2006/relationships/hyperlink" Target="https://www.moodys.com/web/en/us/kyc/products/grid.html" TargetMode="External" Id="rId2" /><Relationship Type="http://schemas.openxmlformats.org/officeDocument/2006/relationships/hyperlink" Target="https://www.moodysanalytics.com/product-list/edfx" TargetMode="External" Id="rId3" /><Relationship Type="http://schemas.openxmlformats.org/officeDocument/2006/relationships/hyperlink" Target="https://www.moodys.com/web/en/us/capabilities/company-reference-data/data-applications/trade-credit.html" TargetMode="External" Id="rId4" /><Relationship Type="http://schemas.openxmlformats.org/officeDocument/2006/relationships/hyperlink" Target="https://www.bitsight.com/products/bitsight-for-cyber-insurance" TargetMode="External" Id="rId5" /><Relationship Type="http://schemas.openxmlformats.org/officeDocument/2006/relationships/hyperlink" Target="https://www.moodys.com/web/en/us/solutions/casualty-insurance.html" TargetMode="External" Id="rId6" /><Relationship Type="http://schemas.openxmlformats.org/officeDocument/2006/relationships/hyperlink" Target="https://www.moodys.com/web/en/us/capabilities/catastrophe-modeling/forward-looking-view-risk.html" TargetMode="External" Id="rId7" /><Relationship Type="http://schemas.openxmlformats.org/officeDocument/2006/relationships/hyperlink" Target="https://www.economy.com/" TargetMode="External" Id="rId8" /><Relationship Type="http://schemas.openxmlformats.org/officeDocument/2006/relationships/hyperlink" Target="https://www.moodys.com/web/en/us/capabilities/credit-risk/creditview.html" TargetMode="External" Id="rId9" /><Relationship Type="http://schemas.openxmlformats.org/officeDocument/2006/relationships/hyperlink" Target="https://www.moodys.com/web/en/us/solutions/casualty-insurance.html" TargetMode="External" Id="rId10" /><Relationship Type="http://schemas.openxmlformats.org/officeDocument/2006/relationships/hyperlink" Target="https://www.moodys.com/web/en/us/solutions/financial-lines.html" TargetMode="External" Id="rId11" /><Relationship Type="http://schemas.openxmlformats.org/officeDocument/2006/relationships/hyperlink" Target="https://www.moodys.com/web/en/us/insights/insurance/d-o-series-evolving-risks-in-the-boardroom-a-new-era-of-d-o-liability-part-1.html" TargetMode="External" Id="rId12" /></Relationships>
</file>

<file path=xl/worksheets/sheet1.xml><?xml version="1.0" encoding="utf-8"?>
<worksheet xmlns="http://schemas.openxmlformats.org/spreadsheetml/2006/main">
  <sheetPr>
    <tabColor rgb="001A1A2E"/>
    <outlinePr summaryBelow="1" summaryRight="1"/>
    <pageSetUpPr/>
  </sheetPr>
  <dimension ref="B2:E20"/>
  <sheetViews>
    <sheetView showGridLines="0" workbookViewId="0">
      <selection activeCell="A1" sqref="A1"/>
    </sheetView>
  </sheetViews>
  <sheetFormatPr baseColWidth="8" defaultRowHeight="15"/>
  <cols>
    <col width="4" customWidth="1" min="1" max="1"/>
    <col width="30" customWidth="1" min="2" max="2"/>
    <col width="30" customWidth="1" min="3" max="3"/>
    <col width="30" customWidth="1" min="4" max="4"/>
    <col width="30" customWidth="1" min="5" max="5"/>
    <col width="4" customWidth="1" min="6" max="6"/>
  </cols>
  <sheetData>
    <row r="1" ht="10" customHeight="1"/>
    <row r="2" ht="44" customHeight="1">
      <c r="B2" s="1" t="inlineStr">
        <is>
          <t xml:space="preserve">  Moody's  ×  Underwriting  —  Sales Enablement Hub</t>
        </is>
      </c>
    </row>
    <row r="3" ht="22" customHeight="1">
      <c r="B3" s="2" t="inlineStr">
        <is>
          <t xml:space="preserve">  Everything your team needs to talk credibly about Casualty &amp; Financial Lines — and where Moody's data wins the conversation</t>
        </is>
      </c>
    </row>
    <row r="4" ht="4" customHeight="1">
      <c r="B4" s="3" t="inlineStr"/>
    </row>
    <row r="6" ht="16" customHeight="1">
      <c r="B6" s="4" t="inlineStr">
        <is>
          <t xml:space="preserve">  WHAT'S IN THIS WORKBOOK</t>
        </is>
      </c>
    </row>
    <row r="7" ht="24" customHeight="1">
      <c r="B7" s="5" t="inlineStr">
        <is>
          <t xml:space="preserve">  📊  Sales Dashboard</t>
        </is>
      </c>
      <c r="E7" s="6" t="inlineStr">
        <is>
          <t>START HERE</t>
        </is>
      </c>
    </row>
    <row r="8" ht="52" customHeight="1">
      <c r="B8" s="7" t="inlineStr">
        <is>
          <t xml:space="preserve">  Pick any line of business from the dropdown and the whole one-page brief updates live — what it is, what underwriters worry about, the deal-breakers, Moody's hero products, talking points and the killer questions to ask.</t>
        </is>
      </c>
      <c r="E8" s="8" t="inlineStr">
        <is>
          <t>Use it live in a client meeting.</t>
        </is>
      </c>
    </row>
    <row r="9" ht="24" customHeight="1">
      <c r="B9" s="5" t="inlineStr">
        <is>
          <t xml:space="preserve">  📇  LOB Cheat Sheet</t>
        </is>
      </c>
      <c r="E9" s="6" t="inlineStr">
        <is>
          <t>QUICK GLANCE</t>
        </is>
      </c>
    </row>
    <row r="10" ht="52" customHeight="1">
      <c r="B10" s="7" t="inlineStr">
        <is>
          <t xml:space="preserve">  All six lines of business side-by-side on a single page. Perfect for a fast scan before a call or to compare where Moody's data matters most across the portfolio.</t>
        </is>
      </c>
      <c r="E10" s="8" t="inlineStr">
        <is>
          <t>Screenshot it. Keep it open.</t>
        </is>
      </c>
    </row>
    <row r="11" ht="24" customHeight="1">
      <c r="B11" s="5" t="inlineStr">
        <is>
          <t xml:space="preserve">  📋  Data Map (9 tabs)</t>
        </is>
      </c>
      <c r="E11" s="6" t="inlineStr">
        <is>
          <t>THE DETAIL</t>
        </is>
      </c>
    </row>
    <row r="12" ht="52" customHeight="1">
      <c r="B12" s="7" t="inlineStr">
        <is>
          <t xml:space="preserve">  The full mapping of every underwriting data point to the Moody's product that serves it — per LOB. This is your evidence base when an underwriter asks "can you really do X?"</t>
        </is>
      </c>
      <c r="E12" s="8" t="inlineStr">
        <is>
          <t>Reference when you need depth.</t>
        </is>
      </c>
    </row>
    <row r="13" ht="24" customHeight="1">
      <c r="B13" s="5" t="inlineStr">
        <is>
          <t xml:space="preserve">  🎯  Risk Model (9 tabs)</t>
        </is>
      </c>
      <c r="E13" s="6" t="inlineStr">
        <is>
          <t>THE VISION</t>
        </is>
      </c>
    </row>
    <row r="14" ht="52" customHeight="1">
      <c r="B14" s="7" t="inlineStr">
        <is>
          <t xml:space="preserve">  The Intelligent Underwriting Engine design — how Moody's data becomes a real-time risk signal that triages submissions. Use this to sell the bigger transformation story.</t>
        </is>
      </c>
      <c r="E14" s="8" t="inlineStr">
        <is>
          <t>For strategic conversations.</t>
        </is>
      </c>
    </row>
    <row r="15" ht="8" customHeight="1"/>
    <row r="16" ht="16" customHeight="1">
      <c r="B16" s="4" t="inlineStr">
        <is>
          <t xml:space="preserve">  HOW TO USE THE DYNAMIC DASHBOARD</t>
        </is>
      </c>
    </row>
    <row r="17" ht="18" customHeight="1">
      <c r="B17" s="9" t="inlineStr">
        <is>
          <t xml:space="preserve">   1.  Open the  📊 Sales Dashboard  tab.</t>
        </is>
      </c>
    </row>
    <row r="18" ht="18" customHeight="1">
      <c r="B18" s="10" t="inlineStr">
        <is>
          <t xml:space="preserve">   2.  Click the highlighted dropdown cell and choose the line of business you're discussing.</t>
        </is>
      </c>
    </row>
    <row r="19" ht="18" customHeight="1">
      <c r="B19" s="9" t="inlineStr">
        <is>
          <t xml:space="preserve">   3.  The entire page updates instantly — read straight off it in the meeting.</t>
        </is>
      </c>
    </row>
    <row r="20" ht="18" customHeight="1">
      <c r="B20" s="10" t="inlineStr">
        <is>
          <t xml:space="preserve">   4.  Need proof points? Jump to that LOB's  · Data Map  tab. Selling the vision? Use the  · Risk Model  tab.</t>
        </is>
      </c>
    </row>
  </sheetData>
  <mergeCells count="17">
    <mergeCell ref="B10:D10"/>
    <mergeCell ref="B11:D11"/>
    <mergeCell ref="B17:E17"/>
    <mergeCell ref="B18:E18"/>
    <mergeCell ref="B20:E20"/>
    <mergeCell ref="B14:D14"/>
    <mergeCell ref="B4:E4"/>
    <mergeCell ref="B8:D8"/>
    <mergeCell ref="B6:E6"/>
    <mergeCell ref="B16:E16"/>
    <mergeCell ref="B9:D9"/>
    <mergeCell ref="B13:D13"/>
    <mergeCell ref="B3:E3"/>
    <mergeCell ref="B2:E2"/>
    <mergeCell ref="B19:E19"/>
    <mergeCell ref="B12:D12"/>
    <mergeCell ref="B7:D7"/>
  </mergeCells>
  <pageMargins left="0.75" right="0.75" top="1" bottom="1" header="0.5" footer="0.5"/>
</worksheet>
</file>

<file path=xl/worksheets/sheet2.xml><?xml version="1.0" encoding="utf-8"?>
<worksheet xmlns="http://schemas.openxmlformats.org/spreadsheetml/2006/main">
  <sheetPr>
    <tabColor rgb="00CC0000"/>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s>
  <sheetData>
    <row r="1" ht="42" customHeight="1">
      <c r="A1" s="11" t="inlineStr">
        <is>
          <t xml:space="preserve">  Line-of-Business Sales Brief</t>
        </is>
      </c>
    </row>
    <row r="2" ht="20" customHeight="1">
      <c r="A2" s="12" t="inlineStr">
        <is>
          <t xml:space="preserve">  Pick a line of business → the entire brief updates. Read it straight off the page in your meeting.</t>
        </is>
      </c>
    </row>
    <row r="3" ht="6" customHeight="1">
      <c r="A3" s="3" t="inlineStr"/>
    </row>
    <row r="4" ht="34" customHeight="1">
      <c r="A4" s="13" t="inlineStr">
        <is>
          <t xml:space="preserve">  ▶  SELECT LINE OF BUSINESS:</t>
        </is>
      </c>
      <c r="C4" s="14" t="inlineStr">
        <is>
          <t>D&amp;O</t>
        </is>
      </c>
    </row>
    <row r="5" ht="6" customHeight="1"/>
    <row r="6" ht="30" customHeight="1">
      <c r="A6" s="15">
        <f>$C$4</f>
        <v/>
      </c>
    </row>
    <row r="7" ht="20" customHeight="1">
      <c r="A7" s="16">
        <f>INDEX(_DashData!$B$2:$G$2,MATCH($C$4,_DashData!$B$1:$G$1,0))</f>
        <v/>
      </c>
    </row>
    <row r="8" ht="8" customHeight="1"/>
    <row r="9" ht="20" customHeight="1">
      <c r="A9" s="17" t="inlineStr">
        <is>
          <t xml:space="preserve">  📌  WHAT IT IS</t>
        </is>
      </c>
      <c r="D9" s="18" t="inlineStr">
        <is>
          <t xml:space="preserve">  👥  WHO BUYS IT</t>
        </is>
      </c>
    </row>
    <row r="10" ht="70" customHeight="1">
      <c r="A10" s="19">
        <f>INDEX(_DashData!$B$3:$G$3,MATCH($C$4,_DashData!$B$1:$G$1,0))</f>
        <v/>
      </c>
      <c r="D10" s="19">
        <f>INDEX(_DashData!$B$4:$G$4,MATCH($C$4,_DashData!$B$1:$G$1,0))</f>
        <v/>
      </c>
    </row>
    <row r="11" ht="20" customHeight="1">
      <c r="A11" s="18" t="inlineStr">
        <is>
          <t xml:space="preserve">  😰  WHAT KEEPS THE UNDERWRITER UP AT NIGHT</t>
        </is>
      </c>
      <c r="D11" s="20" t="inlineStr">
        <is>
          <t xml:space="preserve">  🚩  DEAL-BREAKERS (RED FLAGS)</t>
        </is>
      </c>
    </row>
    <row r="12" ht="110" customHeight="1">
      <c r="A12" s="19">
        <f>INDEX(_DashData!$B$5:$G$5,MATCH($C$4,_DashData!$B$1:$G$1,0))</f>
        <v/>
      </c>
      <c r="D12" s="19">
        <f>INDEX(_DashData!$B$6:$G$6,MATCH($C$4,_DashData!$B$1:$G$1,0))</f>
        <v/>
      </c>
    </row>
    <row r="13" ht="20" customHeight="1">
      <c r="A13" s="21" t="inlineStr">
        <is>
          <t xml:space="preserve">  ⭐  MOODY'S HERO PRODUCTS</t>
        </is>
      </c>
      <c r="D13" s="22" t="inlineStr">
        <is>
          <t xml:space="preserve">  🔧  UNDERWRITER PAIN  →  MOODY'S FIX</t>
        </is>
      </c>
    </row>
    <row r="14" ht="120" customHeight="1">
      <c r="A14" s="19">
        <f>INDEX(_DashData!$B$7:$G$7,MATCH($C$4,_DashData!$B$1:$G$1,0))</f>
        <v/>
      </c>
      <c r="D14" s="19">
        <f>INDEX(_DashData!$B$8:$G$8,MATCH($C$4,_DashData!$B$1:$G$1,0))</f>
        <v/>
      </c>
    </row>
    <row r="15" ht="20" customHeight="1">
      <c r="A15" s="23" t="inlineStr">
        <is>
          <t xml:space="preserve">  💬  CONVERSATION STARTERS</t>
        </is>
      </c>
      <c r="D15" s="24" t="inlineStr">
        <is>
          <t xml:space="preserve">  🎯  KILLER QUESTIONS TO ASK</t>
        </is>
      </c>
    </row>
    <row r="16" ht="130" customHeight="1">
      <c r="A16" s="19">
        <f>INDEX(_DashData!$B$9:$G$9,MATCH($C$4,_DashData!$B$1:$G$1,0))</f>
        <v/>
      </c>
      <c r="D16" s="19">
        <f>INDEX(_DashData!$B$10:$G$10,MATCH($C$4,_DashData!$B$1:$G$1,0))</f>
        <v/>
      </c>
    </row>
    <row r="17" ht="8" customHeight="1"/>
    <row r="18" ht="20" customHeight="1">
      <c r="A18" s="4" t="inlineStr">
        <is>
          <t xml:space="preserve">  📈  BY THE NUMBERS</t>
        </is>
      </c>
    </row>
    <row r="19" ht="40" customHeight="1">
      <c r="A19" s="25">
        <f>INDEX(_DashData!$B$11:$G$11,MATCH($C$4,_DashData!$B$1:$G$1,0))</f>
        <v/>
      </c>
      <c r="E19" s="26">
        <f>REPT("●",INDEX(_DashData!$B$12:$G$12,MATCH($C$4,_DashData!$B$1:$G$1,0)))&amp;REPT("○",5-INDEX(_DashData!$B$12:$G$12,MATCH($C$4,_DashData!$B$1:$G$1,0)))</f>
        <v/>
      </c>
    </row>
    <row r="20" ht="16" customHeight="1">
      <c r="A20" s="27" t="inlineStr">
        <is>
          <t>Sources: Moody's product disclosures; NAIC; industry litigation data (2024–25)</t>
        </is>
      </c>
      <c r="E20" s="28" t="inlineStr">
        <is>
          <t>Moody's data advantage for this LOB</t>
        </is>
      </c>
    </row>
    <row r="21" ht="8" customHeight="1"/>
    <row r="22" ht="20" customHeight="1">
      <c r="A22" s="18" t="inlineStr">
        <is>
          <t xml:space="preserve">  🔗  MOODY'S RESOURCES &amp; LINKS</t>
        </is>
      </c>
    </row>
    <row r="23" ht="26" customHeight="1">
      <c r="A23" s="29" t="inlineStr">
        <is>
          <t>Orbis</t>
        </is>
      </c>
      <c r="C23" s="30" t="inlineStr">
        <is>
          <t>Company data: 625M+ cos, financials &amp; ownership</t>
        </is>
      </c>
      <c r="D23" s="29" t="inlineStr">
        <is>
          <t>RDC/GRID</t>
        </is>
      </c>
      <c r="F23" s="30" t="inlineStr">
        <is>
          <t>Sanctions, PEPs &amp; adverse media — KYC screening</t>
        </is>
      </c>
    </row>
    <row r="24" ht="26" customHeight="1">
      <c r="A24" s="29" t="inlineStr">
        <is>
          <t>EDF-X</t>
        </is>
      </c>
      <c r="C24" s="30" t="inlineStr">
        <is>
          <t>PD scores &amp; early-warning signals — rated &amp; unrated</t>
        </is>
      </c>
      <c r="D24" s="29" t="inlineStr">
        <is>
          <t>Cortera</t>
        </is>
      </c>
      <c r="F24" s="30" t="inlineStr">
        <is>
          <t>$1.45T B2B payment network — trade credit &amp; surety</t>
        </is>
      </c>
    </row>
    <row r="25" ht="26" customHeight="1">
      <c r="A25" s="29" t="inlineStr">
        <is>
          <t>BitSight</t>
        </is>
      </c>
      <c r="C25" s="30" t="inlineStr">
        <is>
          <t>Outside-in cyber risk — 40%+ claim accuracy lift</t>
        </is>
      </c>
      <c r="D25" s="29" t="inlineStr">
        <is>
          <t>Praedicat</t>
        </is>
      </c>
      <c r="F25" s="30" t="inlineStr">
        <is>
          <t>Mass-tort &amp; casualty PML — Litagion® agent screen</t>
        </is>
      </c>
    </row>
    <row r="26" ht="26" customHeight="1">
      <c r="A26" s="29" t="inlineStr">
        <is>
          <t>RMS</t>
        </is>
      </c>
      <c r="C26" s="30" t="inlineStr">
        <is>
          <t>Catastrophe &amp; forward-looking casualty risk models</t>
        </is>
      </c>
      <c r="D26" s="29" t="inlineStr">
        <is>
          <t>Economy.com</t>
        </is>
      </c>
      <c r="F26" s="30" t="inlineStr">
        <is>
          <t>Country risk, GDP &amp; social-inflation analytics</t>
        </is>
      </c>
    </row>
    <row r="27" ht="26" customHeight="1">
      <c r="A27" s="29" t="inlineStr">
        <is>
          <t>CreditView</t>
        </is>
      </c>
      <c r="C27" s="30" t="inlineStr">
        <is>
          <t>Moody's ratings research &amp; analytics platform</t>
        </is>
      </c>
      <c r="D27" s="29" t="inlineStr">
        <is>
          <t>Casualty Solutions</t>
        </is>
      </c>
      <c r="F27" s="30" t="inlineStr">
        <is>
          <t>D&amp;O, GL, Excess &amp; specialty casualty overview</t>
        </is>
      </c>
    </row>
    <row r="28" ht="26" customHeight="1">
      <c r="A28" s="29" t="inlineStr">
        <is>
          <t>Financial Lines</t>
        </is>
      </c>
      <c r="C28" s="30" t="inlineStr">
        <is>
          <t>D&amp;O, E&amp;O, cyber financial lines solutions</t>
        </is>
      </c>
      <c r="D28" s="29" t="inlineStr">
        <is>
          <t>D&amp;O Research</t>
        </is>
      </c>
      <c r="F28" s="30" t="inlineStr">
        <is>
          <t>Moody's boardroom risk series — part 1</t>
        </is>
      </c>
    </row>
  </sheetData>
  <mergeCells count="41">
    <mergeCell ref="A24:B24"/>
    <mergeCell ref="D11:F11"/>
    <mergeCell ref="D13:F13"/>
    <mergeCell ref="A20:D20"/>
    <mergeCell ref="A18:F18"/>
    <mergeCell ref="A19:D19"/>
    <mergeCell ref="A12:C12"/>
    <mergeCell ref="A3:F3"/>
    <mergeCell ref="D16:F16"/>
    <mergeCell ref="A2:F2"/>
    <mergeCell ref="E20:F20"/>
    <mergeCell ref="A25:B25"/>
    <mergeCell ref="A14:C14"/>
    <mergeCell ref="E19:F19"/>
    <mergeCell ref="D27:E27"/>
    <mergeCell ref="D12:F12"/>
    <mergeCell ref="D9:F9"/>
    <mergeCell ref="A22:F22"/>
    <mergeCell ref="A27:B27"/>
    <mergeCell ref="D15:F15"/>
    <mergeCell ref="A10:C10"/>
    <mergeCell ref="A26:B26"/>
    <mergeCell ref="A13:C13"/>
    <mergeCell ref="D14:F14"/>
    <mergeCell ref="A16:C16"/>
    <mergeCell ref="C4:F4"/>
    <mergeCell ref="A9:C9"/>
    <mergeCell ref="D28:E28"/>
    <mergeCell ref="A23:B23"/>
    <mergeCell ref="A15:C15"/>
    <mergeCell ref="D10:F10"/>
    <mergeCell ref="A4:B4"/>
    <mergeCell ref="D25:E25"/>
    <mergeCell ref="A11:C11"/>
    <mergeCell ref="D24:E24"/>
    <mergeCell ref="A1:F1"/>
    <mergeCell ref="D23:E23"/>
    <mergeCell ref="A28:B28"/>
    <mergeCell ref="A6:F6"/>
    <mergeCell ref="D26:E26"/>
    <mergeCell ref="A7:F7"/>
  </mergeCells>
  <dataValidations count="1">
    <dataValidation sqref="C4" showDropDown="0" showInputMessage="0" showErrorMessage="0" allowBlank="0" promptTitle="Line of Business" prompt="Choose a line of business" type="list">
      <formula1>"D&amp;O,E&amp;O,Surety,Trade Credit,General Liability,Excess Casualty"</formula1>
    </dataValidation>
  </dataValidations>
  <hyperlinks>
    <hyperlink xmlns:r="http://schemas.openxmlformats.org/officeDocument/2006/relationships" ref="A23" r:id="rId1"/>
    <hyperlink xmlns:r="http://schemas.openxmlformats.org/officeDocument/2006/relationships" ref="D23" r:id="rId2"/>
    <hyperlink xmlns:r="http://schemas.openxmlformats.org/officeDocument/2006/relationships" ref="A24" r:id="rId3"/>
    <hyperlink xmlns:r="http://schemas.openxmlformats.org/officeDocument/2006/relationships" ref="D24" r:id="rId4"/>
    <hyperlink xmlns:r="http://schemas.openxmlformats.org/officeDocument/2006/relationships" ref="A25" r:id="rId5"/>
    <hyperlink xmlns:r="http://schemas.openxmlformats.org/officeDocument/2006/relationships" ref="D25" r:id="rId6"/>
    <hyperlink xmlns:r="http://schemas.openxmlformats.org/officeDocument/2006/relationships" ref="A26" r:id="rId7"/>
    <hyperlink xmlns:r="http://schemas.openxmlformats.org/officeDocument/2006/relationships" ref="D26" r:id="rId8"/>
    <hyperlink xmlns:r="http://schemas.openxmlformats.org/officeDocument/2006/relationships" ref="A27" r:id="rId9"/>
    <hyperlink xmlns:r="http://schemas.openxmlformats.org/officeDocument/2006/relationships" ref="D27" r:id="rId10"/>
    <hyperlink xmlns:r="http://schemas.openxmlformats.org/officeDocument/2006/relationships" ref="A28" r:id="rId11"/>
    <hyperlink xmlns:r="http://schemas.openxmlformats.org/officeDocument/2006/relationships" ref="D28" r:id="rId12"/>
  </hyperlinks>
  <pageMargins left="0.75" right="0.75" top="1" bottom="1" header="0.5" footer="0.5"/>
</worksheet>
</file>

<file path=xl/worksheets/sheet3.xml><?xml version="1.0" encoding="utf-8"?>
<worksheet xmlns="http://schemas.openxmlformats.org/spreadsheetml/2006/main">
  <sheetPr>
    <tabColor rgb="00D4AF37"/>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8" customWidth="1" min="1" max="1"/>
    <col width="38" customWidth="1" min="2" max="2"/>
    <col width="26" customWidth="1" min="3" max="3"/>
    <col width="30" customWidth="1" min="4" max="4"/>
    <col width="40" customWidth="1" min="5" max="5"/>
    <col width="34" customWidth="1" min="6" max="6"/>
  </cols>
  <sheetData>
    <row r="1" ht="40" customHeight="1">
      <c r="A1" s="31" t="inlineStr">
        <is>
          <t xml:space="preserve">  LOB Cheat Sheet  —  All Six Lines at a Glance</t>
        </is>
      </c>
    </row>
    <row r="2" ht="18" customHeight="1">
      <c r="A2" s="32" t="inlineStr">
        <is>
          <t xml:space="preserve">  A fast scan before any call — what each line is, who buys it, the #1 underwriter concern, Moody's hero products, and the one question to ask</t>
        </is>
      </c>
    </row>
    <row r="3" ht="4" customHeight="1">
      <c r="A3" s="33" t="n"/>
    </row>
    <row r="4" ht="26" customHeight="1">
      <c r="A4" s="34" t="inlineStr">
        <is>
          <t>Line of Business</t>
        </is>
      </c>
      <c r="B4" s="34" t="inlineStr">
        <is>
          <t>What It Is</t>
        </is>
      </c>
      <c r="C4" s="34" t="inlineStr">
        <is>
          <t>Who Buys It</t>
        </is>
      </c>
      <c r="D4" s="34" t="inlineStr">
        <is>
          <t>#1 Underwriter Concern</t>
        </is>
      </c>
      <c r="E4" s="34" t="inlineStr">
        <is>
          <t>Moody's Hero Products</t>
        </is>
      </c>
      <c r="F4" s="34" t="inlineStr">
        <is>
          <t>The One Question to Ask</t>
        </is>
      </c>
    </row>
    <row r="5" ht="66" customHeight="1">
      <c r="A5" s="35" t="inlineStr">
        <is>
          <t>D&amp;O</t>
        </is>
      </c>
      <c r="B5" s="36" t="inlineStr">
        <is>
          <t>Exec/board &amp; entity cover for wrongful acts in running the company — securities suits, fiduciary breach.</t>
        </is>
      </c>
      <c r="C5" s="36" t="inlineStr">
        <is>
          <t>Public &amp; private cos, NFPs, SPACs, IPO candidates</t>
        </is>
      </c>
      <c r="D5" s="36" t="inlineStr">
        <is>
          <t>Financial distress / going-concern + governance quality</t>
        </is>
      </c>
      <c r="E5" s="37" t="inlineStr">
        <is>
          <t>EDF-X • Orbis • RDC/GRID • D&amp;O Data</t>
        </is>
      </c>
      <c r="F5" s="38" t="inlineStr">
        <is>
          <t>"Any restatements or regulatory investigations in the last 5 years?"</t>
        </is>
      </c>
    </row>
    <row r="6" ht="66" customHeight="1">
      <c r="A6" s="39" t="inlineStr">
        <is>
          <t>E&amp;O</t>
        </is>
      </c>
      <c r="B6" s="40" t="inlineStr">
        <is>
          <t>Professional liability for negligent acts, errors or omissions — now incl. cyber &amp; AI errors.</t>
        </is>
      </c>
      <c r="C6" s="40" t="inlineStr">
        <is>
          <t>Tech, law, accounting, A&amp;E, advisers, consultants, healthcare</t>
        </is>
      </c>
      <c r="D6" s="40" t="inlineStr">
        <is>
          <t>Regulatory/disciplinary history + cyber &amp; data exposure</t>
        </is>
      </c>
      <c r="E6" s="37" t="inlineStr">
        <is>
          <t>BitSight • RDC/GRID • EDF-X • Orbis</t>
        </is>
      </c>
      <c r="F6" s="38" t="inlineStr">
        <is>
          <t>"Does the firm hold sensitive client data — and how is it protected?"</t>
        </is>
      </c>
    </row>
    <row r="7" ht="66" customHeight="1">
      <c r="A7" s="41" t="inlineStr">
        <is>
          <t>Surety</t>
        </is>
      </c>
      <c r="B7" s="36" t="inlineStr">
        <is>
          <t>Bond guaranteeing a principal performs an obligation. A credit decision, backed by indemnity.</t>
        </is>
      </c>
      <c r="C7" s="36" t="inlineStr">
        <is>
          <t>GCs, subcontractors, developers, licensed principals</t>
        </is>
      </c>
      <c r="D7" s="36" t="inlineStr">
        <is>
          <t>Capital (working capital/net worth) + how they pay subs</t>
        </is>
      </c>
      <c r="E7" s="37" t="inlineStr">
        <is>
          <t>Cortera • EDF-X • Orbis • RDC/GRID</t>
        </is>
      </c>
      <c r="F7" s="38" t="inlineStr">
        <is>
          <t>"How does the principal pay its subcontractors — on time?"</t>
        </is>
      </c>
    </row>
    <row r="8" ht="66" customHeight="1">
      <c r="A8" s="42" t="inlineStr">
        <is>
          <t>Trade Credit</t>
        </is>
      </c>
      <c r="B8" s="40" t="inlineStr">
        <is>
          <t>Protects sellers against buyer non-payment from insolvency/default + political risk.</t>
        </is>
      </c>
      <c r="C8" s="40" t="inlineStr">
        <is>
          <t>Exporters, manufacturers, distributors, trade-finance banks</t>
        </is>
      </c>
      <c r="D8" s="40" t="inlineStr">
        <is>
          <t>Buyer-portfolio credit quality + country/political risk</t>
        </is>
      </c>
      <c r="E8" s="37" t="inlineStr">
        <is>
          <t>EDF-X • Cortera • Economy.com • Ratings</t>
        </is>
      </c>
      <c r="F8" s="38" t="inlineStr">
        <is>
          <t>"What's the credit-quality spread and country mix of the buyers?"</t>
        </is>
      </c>
    </row>
    <row r="9" ht="66" customHeight="1">
      <c r="A9" s="43" t="inlineStr">
        <is>
          <t>General Liability</t>
        </is>
      </c>
      <c r="B9" s="36" t="inlineStr">
        <is>
          <t>Third-party bodily injury, property damage &amp; products/completed-ops liability.</t>
        </is>
      </c>
      <c r="C9" s="36" t="inlineStr">
        <is>
          <t>Nearly every commercial business</t>
        </is>
      </c>
      <c r="D9" s="36" t="inlineStr">
        <is>
          <t>Operations hazard / mass-tort exposure + venue risk</t>
        </is>
      </c>
      <c r="E9" s="37" t="inlineStr">
        <is>
          <t>Praedicat • Orbis • Cortera • Economy.com</t>
        </is>
      </c>
      <c r="F9" s="38" t="inlineStr">
        <is>
          <t>"What do they make or sell, and from what materials?"</t>
        </is>
      </c>
    </row>
    <row r="10" ht="66" customHeight="1">
      <c r="A10" s="44" t="inlineStr">
        <is>
          <t>Excess Casualty</t>
        </is>
      </c>
      <c r="B10" s="40" t="inlineStr">
        <is>
          <t>Extra limits over primary policies — built for catastrophic, high-severity losses.</t>
        </is>
      </c>
      <c r="C10" s="40" t="inlineStr">
        <is>
          <t>Mid-large commercial, high-hazard industries, multinationals</t>
        </is>
      </c>
      <c r="D10" s="40" t="inlineStr">
        <is>
          <t>Catastrophic PML + social inflation / nuclear verdicts</t>
        </is>
      </c>
      <c r="E10" s="37" t="inlineStr">
        <is>
          <t>Praedicat • Economy.com • Ratings • EDF-X</t>
        </is>
      </c>
      <c r="F10" s="38" t="inlineStr">
        <is>
          <t>"What's the realistic worst-case loss and what drives it?"</t>
        </is>
      </c>
    </row>
  </sheetData>
  <mergeCells count="3">
    <mergeCell ref="A3:F3"/>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field</t>
        </is>
      </c>
      <c r="B1" t="inlineStr">
        <is>
          <t>D&amp;O</t>
        </is>
      </c>
      <c r="C1" t="inlineStr">
        <is>
          <t>E&amp;O</t>
        </is>
      </c>
      <c r="D1" t="inlineStr">
        <is>
          <t>Surety</t>
        </is>
      </c>
      <c r="E1" t="inlineStr">
        <is>
          <t>Trade Credit</t>
        </is>
      </c>
      <c r="F1" t="inlineStr">
        <is>
          <t>General Liability</t>
        </is>
      </c>
      <c r="G1" t="inlineStr">
        <is>
          <t>Excess Casualty</t>
        </is>
      </c>
    </row>
    <row r="2">
      <c r="A2" t="inlineStr">
        <is>
          <t>tagline</t>
        </is>
      </c>
      <c r="B2" t="inlineStr">
        <is>
          <t>Protecting the people who run the company — and the company itself</t>
        </is>
      </c>
      <c r="C2" t="inlineStr">
        <is>
          <t>When professional advice or services go wrong</t>
        </is>
      </c>
      <c r="D2" t="inlineStr">
        <is>
          <t>Credit, not insurance — backing a principal's promise to perform</t>
        </is>
      </c>
      <c r="E2" t="inlineStr">
        <is>
          <t>Insuring the money your client is owed</t>
        </is>
      </c>
      <c r="F2" t="inlineStr">
        <is>
          <t>Third-party injury &amp; property damage — the workhorse of casualty</t>
        </is>
      </c>
      <c r="G2" t="inlineStr">
        <is>
          <t>The high-severity layer — where nuclear verdicts live</t>
        </is>
      </c>
    </row>
    <row r="3">
      <c r="A3" t="inlineStr">
        <is>
          <t>what</t>
        </is>
      </c>
      <c r="B3" t="inlineStr">
        <is>
          <t>Directors &amp; Officers liability covers executives, board members and the entity against claims alleging wrongful acts in managing the organization — securities suits, breach of fiduciary duty, creditor and regulatory actions.</t>
        </is>
      </c>
      <c r="C3" t="inlineStr">
        <is>
          <t>Errors &amp; Omissions / Professional Liability covers firms against claims of negligent acts, errors or omissions in delivering professional services — increasingly including data breaches and AI-driven errors.</t>
        </is>
      </c>
      <c r="D3" t="inlineStr">
        <is>
          <t>Surety bonds guarantee a principal (contractor / licensee) will fulfil an obligation to an obligee. The surety expects zero losses and relies on indemnity — so it is fundamentally a credit decision.</t>
        </is>
      </c>
      <c r="E3" t="inlineStr">
        <is>
          <t>Trade Credit insurance protects sellers against buyer non-payment from insolvency or protracted default — plus political and currency-transfer risk on export trade.</t>
        </is>
      </c>
      <c r="F3" t="inlineStr">
        <is>
          <t>Commercial General Liability covers bodily injury, property damage, personal/advertising injury and products/completed-operations liability to third parties.</t>
        </is>
      </c>
      <c r="G3" t="inlineStr">
        <is>
          <t>Excess &amp; Umbrella liability provides additional limits over primary policies (GL, Auto, Employers Liability), built for catastrophic, high-severity loss events.</t>
        </is>
      </c>
    </row>
    <row r="4">
      <c r="A4" t="inlineStr">
        <is>
          <t>who</t>
        </is>
      </c>
      <c r="B4" t="inlineStr">
        <is>
          <t>Public companies • PE-backed &amp; private companies • Non-profits • SPACs • IPO candidates</t>
        </is>
      </c>
      <c r="C4" t="inlineStr">
        <is>
          <t>Tech companies • Law firms • Accountants • Architects &amp; engineers • Financial advisers • Consultants • Healthcare professionals</t>
        </is>
      </c>
      <c r="D4" t="inlineStr">
        <is>
          <t>General contractors • Specialty subcontractors • Developers • Licensed professionals • Court &amp; license bond principals</t>
        </is>
      </c>
      <c r="E4" t="inlineStr">
        <is>
          <t>Exporters • Manufacturers • Distributors &amp; wholesalers • Banks with trade-finance books • Factoring companies</t>
        </is>
      </c>
      <c r="F4" t="inlineStr">
        <is>
          <t>Virtually every commercial business — contractors • manufacturers • retailers • restaurants • tech • healthcare • hospitality</t>
        </is>
      </c>
      <c r="G4" t="inlineStr">
        <is>
          <t>Mid-to-large commercial accounts • High-hazard industries • Public companies • Construction programs • Multinationals</t>
        </is>
      </c>
    </row>
    <row r="5">
      <c r="A5" t="inlineStr">
        <is>
          <t>concerns</t>
        </is>
      </c>
      <c r="B5" t="inlineStr">
        <is>
          <t>• Financial distress / going-concern risk
• Governance quality (board independence, audit committee)
• Prior claims &amp; regulatory investigations
• Securities-litigation exposure
• M&amp;A and SPAC activity</t>
        </is>
      </c>
      <c r="C5" t="inlineStr">
        <is>
          <t>• Regulatory &amp; disciplinary history of principals
• Cyber &amp; client-data exposure
• Prior E&amp;O claims &amp; near-misses
• Client concentration
• Financial stability of the firm</t>
        </is>
      </c>
      <c r="D5" t="inlineStr">
        <is>
          <t>• Working capital &amp; tangible net worth
• Trade-payment behavior (do they pay subs on time?)
• Backlog size &amp; gross-margin fade
• Liens, judgments &amp; UCC filings
• Banking relationship &amp; liquidity</t>
        </is>
      </c>
      <c r="E5" t="inlineStr">
        <is>
          <t>• Buyer-portfolio credit quality
• Country &amp; political risk
• Buyer concentration (single-name risk)
• Payment trends (DSO / Days-Beyond-Terms)
• Policyholder moral hazard</t>
        </is>
      </c>
      <c r="F5" t="inlineStr">
        <is>
          <t>• Operations hazard &amp; mass-tort exposure
• Jurisdiction / venue (judicial hellholes)
• Loss history (frequency &amp; severity)
• Products liability
• Safety record &amp; risk management</t>
        </is>
      </c>
      <c r="G5" t="inlineStr">
        <is>
          <t>• Catastrophic / PML exposure
• Social inflation &amp; nuclear verdicts
• Underlying program quality &amp; primary-carrier strength
• Loss development
• Mass-tort accumulation</t>
        </is>
      </c>
    </row>
    <row r="6">
      <c r="A6" t="inlineStr">
        <is>
          <t>redflags</t>
        </is>
      </c>
      <c r="B6" t="inlineStr">
        <is>
          <t>🚩 Going-concern audit opinion
🚩 Active SEC / DOJ investigation
🚩 Fraud-related financial restatement
🚩 Sanctions hit on entity, UBO or executive</t>
        </is>
      </c>
      <c r="C6" t="inlineStr">
        <is>
          <t>🚩 Active license suspension / revocation
🚩 Fraud-related prior claim
🚩 Prior data breach + weak BitSight score
🚩 No engagement letters / no QA framework</t>
        </is>
      </c>
      <c r="D6" t="inlineStr">
        <is>
          <t>🚩 Negative working capital
🚩 Negative gross profit in backlog
🚩 Active bond claim or obligee dispute
🚩 Unsatisfied tax lien or judgment</t>
        </is>
      </c>
      <c r="E6" t="inlineStr">
        <is>
          <t>🚩 Sanctioned buyer or buyer country
🚩 Buyer insolvency filing
🚩 Single buyer &gt;50% of the portfolio
🚩 Distressed policyholder (adverse selection)</t>
        </is>
      </c>
      <c r="F6" t="inlineStr">
        <is>
          <t>🚩 Confirmed PFAS / high-probability mass-tort agent
🚩 Active mass-tort lawsuit
🚩 OSHA willful violation
🚩 Imported goods with no domestic manufacturer</t>
        </is>
      </c>
      <c r="G6" t="inlineStr">
        <is>
          <t>🚩 Active mass-tort defendant
🚩 Prior sexual-abuse &amp; molestation (SAM) claim
🚩 Primary carrier below investment grade
🚩 Modeled PML &gt;10× attachment point</t>
        </is>
      </c>
    </row>
    <row r="7">
      <c r="A7" t="inlineStr">
        <is>
          <t>heroes</t>
        </is>
      </c>
      <c r="B7" t="inlineStr">
        <is>
          <t>⭐ EDF-X — probability of default &amp; early-warning signals, even for unrated private companies
⭐ Orbis — financials, ownership tree &amp; UBO for 625M+ companies
⭐ RDC/GRID — sanctions, PEPs &amp; adverse media, updated daily
⭐ D&amp;O Data — board composition, director tenure &amp; executive intelligence</t>
        </is>
      </c>
      <c r="C7" t="inlineStr">
        <is>
          <t>⭐ BitSight — external cyber risk score, ~40% more accurate claim prediction
⭐ RDC/GRID — regulatory, disciplinary &amp; adverse-media screening
⭐ EDF-X — private-company financial health &amp; PD
⭐ Orbis — firm profile, revenue &amp; client intelligence</t>
        </is>
      </c>
      <c r="D7" t="inlineStr">
        <is>
          <t>⭐ Cortera — trade-payment behavior, CPR credit score, liens, judgments, UCC &amp; DOT data
⭐ EDF-X — early-warning signals on credit deterioration
⭐ Orbis — CPA-grade financials &amp; ownership
⭐ RDC/GRID — principal &amp; UBO screening</t>
        </is>
      </c>
      <c r="E7" t="inlineStr">
        <is>
          <t>⭐ EDF-X — PD &amp; implied ratings across the entire buyer portfolio (rated or not)
⭐ Cortera — buyer payment behavior &amp; delinquency signals
⭐ Economy.com + Ratings — sovereign &amp; country risk
⭐ RDC/GRID — buyer &amp; UBO sanctions screening</t>
        </is>
      </c>
      <c r="F7" t="inlineStr">
        <is>
          <t>⭐ Praedicat — mass-tort / emerging-liability (Litagion®) screening &amp; PML
⭐ Orbis — operations verification &amp; SIC/NAICS cross-check
⭐ Cortera — credit, DOT safety &amp; public records
⭐ Economy.com — jurisdiction &amp; social-inflation context</t>
        </is>
      </c>
      <c r="G7" t="inlineStr">
        <is>
          <t>⭐ Praedicat — stochastic casualty PML &amp; mass-tort accumulation
⭐ Economy.com — social-inflation &amp; nuclear-verdict analytics
⭐ Ratings — primary-carrier financial strength
⭐ EDF-X — insured financial stability</t>
        </is>
      </c>
    </row>
    <row r="8">
      <c r="A8" t="inlineStr">
        <is>
          <t>pain</t>
        </is>
      </c>
      <c r="B8" t="inlineStr">
        <is>
          <t>Can't gauge private-company credit  →  EDF-X implied ratings
Manual governance research  →  D&amp;O Data board &amp; exec profiles
Missed regulatory red flags  →  RDC/GRID real-time enforcement monitoring</t>
        </is>
      </c>
      <c r="C8" t="inlineStr">
        <is>
          <t>Cyber exposure invisible at UW  →  BitSight outside-in scan
Disciplinary history scattered  →  RDC/GRID consolidated screen
No financials for private firms  →  EDF-X private model</t>
        </is>
      </c>
      <c r="D8" t="inlineStr">
        <is>
          <t>Financials are a lagging indicator  →  Cortera real-time payment behavior
Manual lien / judgment searches  →  Cortera public-records data
Distress detected too late  →  EDF-X early-warning flags</t>
        </is>
      </c>
      <c r="E8" t="inlineStr">
        <is>
          <t>Unrated foreign buyers  →  EDF-X implied ratings globally
Default surprises  →  Cortera payment-slowdown alerts
Country-risk guesswork  →  Moody's sovereign ratings + Economy.com</t>
        </is>
      </c>
      <c r="F8" t="inlineStr">
        <is>
          <t>Latent mass-tort exposure invisible  →  Praedicat Litagion® screen
Misrepresented operations  →  Orbis NAICS cross-check
Nuclear-verdict surprise  →  Praedicat + Economy.com venue analytics</t>
        </is>
      </c>
      <c r="G8" t="inlineStr">
        <is>
          <t>Attachment-point guesswork  →  Praedicat stochastic PML
Social-inflation blind spot  →  Economy.com venue analytics
Drop-down from a weak primary  →  Moody's carrier ratings</t>
        </is>
      </c>
    </row>
    <row r="9">
      <c r="A9" t="inlineStr">
        <is>
          <t>talking</t>
        </is>
      </c>
      <c r="B9" t="inlineStr">
        <is>
          <t>• "Your underwriters rebuild a company's financial &amp; governance picture from scattered filings — we deliver it in seconds."
• "We flag credit deterioration 3–6 months before it hits the financials."
• "Every director, UBO and executive screened for sanctions, PEP status and adverse media — automatically."</t>
        </is>
      </c>
      <c r="C9" t="inlineStr">
        <is>
          <t>• "Tech &amp; professional firms live and die by their cyber posture — we score it from the outside in, no questionnaire needed."
• "We screen every principal against global regulatory &amp; disciplinary databases instantly."
• "Most E&amp;O firms are private with no public financials — EDF-X gives you a credit read anyway."</t>
        </is>
      </c>
      <c r="D9" t="inlineStr">
        <is>
          <t>• "Surety is a credit decision — and credit is exactly what Moody's does best."
• "We see how a contractor actually pays its subs and suppliers, in real time, through Cortera's $1.45T network."
• "Tax liens, judgments and UCC filings surfaced automatically — no manual public-records search."</t>
        </is>
      </c>
      <c r="E9" t="inlineStr">
        <is>
          <t>• "We can credit-score an entire buyer portfolio — including unrated SMEs anywhere in the world."
• "Cortera shows you which buyers are slowing their payments before they default."
• "Moody's sovereign ratings and Economy.com forecasts price country risk precisely."</t>
        </is>
      </c>
      <c r="F9" t="inlineStr">
        <is>
          <t>• "We screen products &amp; operations against 100+ mass-tort agents — PFAS, talc, opioids — before they become a claim."
• "Nuclear verdicts hit $31.3B in 2024. We map jurisdiction &amp; industry litigation risk so your team prices for it."
• "Stated operations are cross-checked against Orbis — brokers can't hide a hazardous exposure."</t>
        </is>
      </c>
      <c r="G9" t="inlineStr">
        <is>
          <t>• "Praedicat models the probable maximum loss stochastically — so your team knows if the attachment point is mispriced."
• "Social inflation hit a 20-year high. We quantify nuclear-verdict and litigation-funding risk by industry and venue."
• "We rate the primary carrier's financial strength so you know your drop-down risk."</t>
        </is>
      </c>
    </row>
    <row r="10">
      <c r="A10" t="inlineStr">
        <is>
          <t>killer</t>
        </is>
      </c>
      <c r="B10" t="inlineStr">
        <is>
          <t>• "Any financial restatements in the last 5 years?"
• "Any pending regulatory investigations or securities litigation?"
• "Is the entity rated — and if not, do you know its implied credit quality?"</t>
        </is>
      </c>
      <c r="C10" t="inlineStr">
        <is>
          <t>• "Do any principals have disciplinary history with their licensing board?"
• "Does the firm hold sensitive client data — and how is it protected?"
• "Are AI tools used in client deliverables?"</t>
        </is>
      </c>
      <c r="D10" t="inlineStr">
        <is>
          <t>• "How does the principal pay its subcontractors — on time?"
• "What's the working capital relative to the bonding program?"
• "Any liens, judgments or prior bond claims?"</t>
        </is>
      </c>
      <c r="E10" t="inlineStr">
        <is>
          <t>• "What's the credit-quality spread across the buyer portfolio?"
• "Which countries are the buyers in?"
• "How concentrated is the receivables book?"</t>
        </is>
      </c>
      <c r="F10" t="inlineStr">
        <is>
          <t>• "What exactly do they manufacture or sell — and from what materials?"
• "Which states is the payroll / revenue concentrated in?"
• "Any products containing chemicals of concern?"</t>
        </is>
      </c>
      <c r="G10" t="inlineStr">
        <is>
          <t>• "What's the realistic worst-case loss for this risk?"
• "What jurisdictions and industries drive the exposure?"
• "Who's the primary carrier and how strong are they?"</t>
        </is>
      </c>
    </row>
    <row r="11">
      <c r="A11" t="inlineStr">
        <is>
          <t>stat</t>
        </is>
      </c>
      <c r="B11" t="inlineStr">
        <is>
          <t>46%  —  rise in Chapter 11 filings (12 mths to mid-2024), fueling securities litigation</t>
        </is>
      </c>
      <c r="C11" t="inlineStr">
        <is>
          <t>40%  —  improvement in claim-prediction accuracy when BitSight cyber data is added</t>
        </is>
      </c>
      <c r="D11" t="inlineStr">
        <is>
          <t>$1.45T  —  annual B2B payment history in Cortera's contributory network</t>
        </is>
      </c>
      <c r="E11" t="inlineStr">
        <is>
          <t>625M+  —  companies Moody's can credit-assess worldwide, rated or unrated</t>
        </is>
      </c>
      <c r="F11" t="inlineStr">
        <is>
          <t>$31.3B  —  total nuclear-verdict awards in 2024 (up 116% year-on-year)</t>
        </is>
      </c>
      <c r="G11" t="inlineStr">
        <is>
          <t>7%  —  social inflation in 2023, a 20-year high, outpacing economic inflation</t>
        </is>
      </c>
    </row>
    <row r="12">
      <c r="A12" t="inlineStr">
        <is>
          <t>adv</t>
        </is>
      </c>
      <c r="B12" t="n">
        <v>5</v>
      </c>
      <c r="C12" t="n">
        <v>4</v>
      </c>
      <c r="D12" t="n">
        <v>5</v>
      </c>
      <c r="E12" t="n">
        <v>5</v>
      </c>
      <c r="F12" t="n">
        <v>4</v>
      </c>
      <c r="G12" t="n">
        <v>4</v>
      </c>
    </row>
  </sheetData>
  <pageMargins left="0.75" right="0.75" top="1" bottom="1" header="0.5" footer="0.5"/>
</worksheet>
</file>

<file path=xl/worksheets/sheet5.xml><?xml version="1.0" encoding="utf-8"?>
<worksheet xmlns="http://schemas.openxmlformats.org/spreadsheetml/2006/main">
  <sheetPr>
    <tabColor rgb="001A1A2E"/>
    <outlinePr summaryBelow="1" summaryRight="1"/>
    <pageSetUpPr/>
  </sheetPr>
  <dimension ref="A1:F27"/>
  <sheetViews>
    <sheetView showGridLines="0" workbookViewId="0">
      <selection activeCell="A1" sqref="A1"/>
    </sheetView>
  </sheetViews>
  <sheetFormatPr baseColWidth="8" defaultRowHeight="15"/>
  <cols>
    <col width="28" customWidth="1" min="1" max="1"/>
    <col width="22" customWidth="1" min="2" max="2"/>
    <col width="22" customWidth="1" min="3" max="3"/>
    <col width="25" customWidth="1" min="4" max="4"/>
    <col width="22" customWidth="1" min="5" max="5"/>
    <col width="18" customWidth="1" min="6" max="6"/>
  </cols>
  <sheetData>
    <row r="1" ht="48" customHeight="1">
      <c r="A1" s="45" t="inlineStr">
        <is>
          <t xml:space="preserve">  Underwriting Intelligence Framework  |  Moody's Data Estate × Casualty &amp; Financial Lines</t>
        </is>
      </c>
    </row>
    <row r="2" ht="18" customHeight="1">
      <c r="A2" s="46" t="inlineStr">
        <is>
          <t xml:space="preserve">  How Moody's proprietary data estate creates an underwriting intelligence advantage that no competitor can replicate — mapped across 6 LOBs and 90+ underwriting data points.</t>
        </is>
      </c>
    </row>
    <row r="3" ht="4" customHeight="1">
      <c r="A3" s="33" t="n"/>
    </row>
    <row r="5" ht="16" customHeight="1">
      <c r="A5" s="47" t="inlineStr">
        <is>
          <t xml:space="preserve">  LINES OF BUSINESS — KEY FACTS</t>
        </is>
      </c>
    </row>
    <row r="6" ht="24" customHeight="1">
      <c r="A6" s="48" t="inlineStr">
        <is>
          <t>LOB</t>
        </is>
      </c>
      <c r="B6" s="48" t="inlineStr">
        <is>
          <t>Primary Risk Driver</t>
        </is>
      </c>
      <c r="C6" s="48" t="inlineStr">
        <is>
          <t>Typical Claims</t>
        </is>
      </c>
      <c r="D6" s="48" t="inlineStr">
        <is>
          <t>Key Moody's Products</t>
        </is>
      </c>
      <c r="E6" s="48" t="inlineStr">
        <is>
          <t>Data Points</t>
        </is>
      </c>
      <c r="F6" s="48" t="inlineStr">
        <is>
          <t>Sheet</t>
        </is>
      </c>
    </row>
    <row r="7" ht="22" customHeight="1">
      <c r="A7" s="49" t="inlineStr">
        <is>
          <t>D&amp;O</t>
        </is>
      </c>
      <c r="B7" s="50" t="inlineStr">
        <is>
          <t>Management decisions / securities fraud</t>
        </is>
      </c>
      <c r="C7" s="50" t="inlineStr">
        <is>
          <t>Securities class actions, derivative suits, regulatory enforcement</t>
        </is>
      </c>
      <c r="D7" s="50" t="inlineStr">
        <is>
          <t>Orbis, EDF-X, RDC/GRID, D&amp;O Data, CreditView, Ratings</t>
        </is>
      </c>
      <c r="E7" s="50" t="inlineStr">
        <is>
          <t>19</t>
        </is>
      </c>
      <c r="F7" s="50" t="inlineStr">
        <is>
          <t>D&amp;O</t>
        </is>
      </c>
    </row>
    <row r="8" ht="22" customHeight="1">
      <c r="A8" s="51" t="inlineStr">
        <is>
          <t>E&amp;O</t>
        </is>
      </c>
      <c r="B8" s="52" t="inlineStr">
        <is>
          <t>Professional negligence / advice failure</t>
        </is>
      </c>
      <c r="C8" s="52" t="inlineStr">
        <is>
          <t>Negligent services, data breaches, AI output errors</t>
        </is>
      </c>
      <c r="D8" s="52" t="inlineStr">
        <is>
          <t>Orbis, RDC/GRID, BitSight, EDF-X, Cortera</t>
        </is>
      </c>
      <c r="E8" s="52" t="inlineStr">
        <is>
          <t>14</t>
        </is>
      </c>
      <c r="F8" s="52" t="inlineStr">
        <is>
          <t>E&amp;O</t>
        </is>
      </c>
    </row>
    <row r="9" ht="22" customHeight="1">
      <c r="A9" s="49" t="inlineStr">
        <is>
          <t>Surety</t>
        </is>
      </c>
      <c r="B9" s="50" t="inlineStr">
        <is>
          <t>Principal default on bonded obligation</t>
        </is>
      </c>
      <c r="C9" s="50" t="inlineStr">
        <is>
          <t>Contract default, financial insolvency, abandonment</t>
        </is>
      </c>
      <c r="D9" s="50" t="inlineStr">
        <is>
          <t>Orbis, EDF-X, Cortera, RDC/GRID, D&amp;O Data, CRE</t>
        </is>
      </c>
      <c r="E9" s="50" t="inlineStr">
        <is>
          <t>15</t>
        </is>
      </c>
      <c r="F9" s="50" t="inlineStr">
        <is>
          <t>Surety</t>
        </is>
      </c>
    </row>
    <row r="10" ht="22" customHeight="1">
      <c r="A10" s="51" t="inlineStr">
        <is>
          <t>Trade Credit</t>
        </is>
      </c>
      <c r="B10" s="52" t="inlineStr">
        <is>
          <t>Buyer insolvency / non-payment</t>
        </is>
      </c>
      <c r="C10" s="52" t="inlineStr">
        <is>
          <t>Buyer bankruptcy, protracted default, political risk</t>
        </is>
      </c>
      <c r="D10" s="52" t="inlineStr">
        <is>
          <t>EDF-X, Cortera, Orbis, RDC/GRID, Economy.com, Ratings</t>
        </is>
      </c>
      <c r="E10" s="52" t="inlineStr">
        <is>
          <t>15</t>
        </is>
      </c>
      <c r="F10" s="52" t="inlineStr">
        <is>
          <t>Trade Credit</t>
        </is>
      </c>
    </row>
    <row r="11" ht="22" customHeight="1">
      <c r="A11" s="49" t="inlineStr">
        <is>
          <t>General Liability</t>
        </is>
      </c>
      <c r="B11" s="50" t="inlineStr">
        <is>
          <t>Third-party BI / property damage / products</t>
        </is>
      </c>
      <c r="C11" s="50" t="inlineStr">
        <is>
          <t>Premises liability, products liability, mass tort</t>
        </is>
      </c>
      <c r="D11" s="50" t="inlineStr">
        <is>
          <t>Praedicat, Orbis, Cortera, Economy.com, Cape Analytics</t>
        </is>
      </c>
      <c r="E11" s="50" t="inlineStr">
        <is>
          <t>14</t>
        </is>
      </c>
      <c r="F11" s="50" t="inlineStr">
        <is>
          <t>General Liability</t>
        </is>
      </c>
    </row>
    <row r="12" ht="22" customHeight="1">
      <c r="A12" s="51" t="inlineStr">
        <is>
          <t>Excess Casualty</t>
        </is>
      </c>
      <c r="B12" s="52" t="inlineStr">
        <is>
          <t>Catastrophic / high-severity losses</t>
        </is>
      </c>
      <c r="C12" s="52" t="inlineStr">
        <is>
          <t>Nuclear verdicts, mass torts, social inflation</t>
        </is>
      </c>
      <c r="D12" s="52" t="inlineStr">
        <is>
          <t>Praedicat, Economy.com, RMS, Ratings, EDF-X, RDC/GRID</t>
        </is>
      </c>
      <c r="E12" s="52" t="inlineStr">
        <is>
          <t>14</t>
        </is>
      </c>
      <c r="F12" s="52" t="inlineStr">
        <is>
          <t>Excess Casualty</t>
        </is>
      </c>
    </row>
    <row r="14" ht="16" customHeight="1">
      <c r="A14" s="53" t="inlineStr">
        <is>
          <t xml:space="preserve">  MOODY'S DATA PRODUCTS MAPPED IN THIS FRAMEWORK (13 products)</t>
        </is>
      </c>
    </row>
    <row r="15" ht="20" customHeight="1">
      <c r="A15" s="54" t="inlineStr">
        <is>
          <t>Orbis</t>
        </is>
      </c>
      <c r="B15" s="55" t="inlineStr">
        <is>
          <t>625M+ companies · Firmographics, financials, ownership/UBO, M&amp;A, 170+ sources · Global</t>
        </is>
      </c>
      <c r="C15" s="56" t="n"/>
      <c r="D15" s="56" t="n"/>
      <c r="E15" s="56" t="n"/>
      <c r="F15" s="57" t="n"/>
    </row>
    <row r="16" ht="20" customHeight="1">
      <c r="A16" s="58" t="inlineStr">
        <is>
          <t>RDC/GRID</t>
        </is>
      </c>
      <c r="B16" s="59" t="inlineStr">
        <is>
          <t>Sanctions, PEPs, adverse news, watchlists · 200+ jurisdictions · Daily updates · World's largest curated risk DB</t>
        </is>
      </c>
      <c r="C16" s="56" t="n"/>
      <c r="D16" s="56" t="n"/>
      <c r="E16" s="56" t="n"/>
      <c r="F16" s="57" t="n"/>
    </row>
    <row r="17" ht="20" customHeight="1">
      <c r="A17" s="60" t="inlineStr">
        <is>
          <t>EDF-X</t>
        </is>
      </c>
      <c r="B17" s="55" t="inlineStr">
        <is>
          <t>PD models (public, private, payment) · Implied ratings for unrated entities · Early warning signals · Portfolio monitoring</t>
        </is>
      </c>
      <c r="C17" s="56" t="n"/>
      <c r="D17" s="56" t="n"/>
      <c r="E17" s="56" t="n"/>
      <c r="F17" s="57" t="n"/>
    </row>
    <row r="18" ht="20" customHeight="1">
      <c r="A18" s="61" t="inlineStr">
        <is>
          <t>Cortera</t>
        </is>
      </c>
      <c r="B18" s="59" t="inlineStr">
        <is>
          <t>36M+ companies · $1.45T B2B payment history · Delinquency scores · Credit lines · Tax liens · UCC · DOT data</t>
        </is>
      </c>
      <c r="C18" s="56" t="n"/>
      <c r="D18" s="56" t="n"/>
      <c r="E18" s="56" t="n"/>
      <c r="F18" s="57" t="n"/>
    </row>
    <row r="19" ht="20" customHeight="1">
      <c r="A19" s="62" t="inlineStr">
        <is>
          <t>BitSight</t>
        </is>
      </c>
      <c r="B19" s="55" t="inlineStr">
        <is>
          <t>Cyber risk scores · External attack surface · 40% more accurate claim ID · Privacy risk · Security ratings</t>
        </is>
      </c>
      <c r="C19" s="56" t="n"/>
      <c r="D19" s="56" t="n"/>
      <c r="E19" s="56" t="n"/>
      <c r="F19" s="57" t="n"/>
    </row>
    <row r="20" ht="20" customHeight="1">
      <c r="A20" s="63" t="inlineStr">
        <is>
          <t>Praedicat</t>
        </is>
      </c>
      <c r="B20" s="59" t="inlineStr">
        <is>
          <t>Casualty stochastic modeling · Litagion® agents (PFAS, talc, opioids, 100+ compounds) · Mass tort PML · Accumulation mgmt</t>
        </is>
      </c>
      <c r="C20" s="56" t="n"/>
      <c r="D20" s="56" t="n"/>
      <c r="E20" s="56" t="n"/>
      <c r="F20" s="57" t="n"/>
    </row>
    <row r="21" ht="20" customHeight="1">
      <c r="A21" s="58" t="inlineStr">
        <is>
          <t>RMS</t>
        </is>
      </c>
      <c r="B21" s="55" t="inlineStr">
        <is>
          <t>Cat models for hurricane, flood, wildfire, earthquake, SCS · Climate-conditioned through 2100 · 6 scenarios</t>
        </is>
      </c>
      <c r="C21" s="56" t="n"/>
      <c r="D21" s="56" t="n"/>
      <c r="E21" s="56" t="n"/>
      <c r="F21" s="57" t="n"/>
    </row>
    <row r="22" ht="20" customHeight="1">
      <c r="A22" s="58" t="inlineStr">
        <is>
          <t>Cape Analytics</t>
        </is>
      </c>
      <c r="B22" s="59" t="inlineStr">
        <is>
          <t>AI/ML geospatial property intelligence · Roof condition/age · Wildfire risk · 100s of property attributes · Address-level</t>
        </is>
      </c>
      <c r="C22" s="56" t="n"/>
      <c r="D22" s="56" t="n"/>
      <c r="E22" s="56" t="n"/>
      <c r="F22" s="57" t="n"/>
    </row>
    <row r="23" ht="20" customHeight="1">
      <c r="A23" s="64" t="inlineStr">
        <is>
          <t>CreditView / OneView</t>
        </is>
      </c>
      <c r="B23" s="55" t="inlineStr">
        <is>
          <t>$75T+ rated debt · 400K+ companies · GenAI research assistant · Real-time monitoring · Named Best Credit Risk 2025</t>
        </is>
      </c>
      <c r="C23" s="56" t="n"/>
      <c r="D23" s="56" t="n"/>
      <c r="E23" s="56" t="n"/>
      <c r="F23" s="57" t="n"/>
    </row>
    <row r="24" ht="20" customHeight="1">
      <c r="A24" s="65" t="inlineStr">
        <is>
          <t>Economy.com</t>
        </is>
      </c>
      <c r="B24" s="59" t="inlineStr">
        <is>
          <t>120+ country macro forecasts · 30-year horizon · 10 alternative scenarios · 500K+ time series · Monthly updates</t>
        </is>
      </c>
      <c r="C24" s="56" t="n"/>
      <c r="D24" s="56" t="n"/>
      <c r="E24" s="56" t="n"/>
      <c r="F24" s="57" t="n"/>
    </row>
    <row r="25" ht="20" customHeight="1">
      <c r="A25" s="66" t="inlineStr">
        <is>
          <t>Ratings</t>
        </is>
      </c>
      <c r="B25" s="55" t="inlineStr">
        <is>
          <t>Moody's issuer ratings (Aaa→C) · Outlooks · Watch status · Sovereign to SME implied · Rating migration history</t>
        </is>
      </c>
      <c r="C25" s="56" t="n"/>
      <c r="D25" s="56" t="n"/>
      <c r="E25" s="56" t="n"/>
      <c r="F25" s="57" t="n"/>
    </row>
    <row r="26" ht="20" customHeight="1">
      <c r="A26" s="58" t="inlineStr">
        <is>
          <t>CRE Data</t>
        </is>
      </c>
      <c r="B26" s="59" t="inlineStr">
        <is>
          <t>8.2M US properties · 275+ markets · 3,000 submarkets · Cap rates, vacancy, rent, NOI · Submarket analytics</t>
        </is>
      </c>
      <c r="C26" s="56" t="n"/>
      <c r="D26" s="56" t="n"/>
      <c r="E26" s="56" t="n"/>
      <c r="F26" s="57" t="n"/>
    </row>
    <row r="27" ht="20" customHeight="1">
      <c r="A27" s="67" t="inlineStr">
        <is>
          <t>D&amp;O Data</t>
        </is>
      </c>
      <c r="B27" s="55" t="inlineStr">
        <is>
          <t>Executive profiles · Contact info · Board composition · Director tenure · Committee roles · Interlocking directorships</t>
        </is>
      </c>
      <c r="C27" s="56" t="n"/>
      <c r="D27" s="56" t="n"/>
      <c r="E27" s="56" t="n"/>
      <c r="F27" s="57" t="n"/>
    </row>
  </sheetData>
  <mergeCells count="18">
    <mergeCell ref="B21:F21"/>
    <mergeCell ref="A2:F2"/>
    <mergeCell ref="B24:F24"/>
    <mergeCell ref="B16:F16"/>
    <mergeCell ref="A14:F14"/>
    <mergeCell ref="B15:F15"/>
    <mergeCell ref="B20:F20"/>
    <mergeCell ref="A1:F1"/>
    <mergeCell ref="A5:F5"/>
    <mergeCell ref="B25:F25"/>
    <mergeCell ref="B19:F19"/>
    <mergeCell ref="B17:F17"/>
    <mergeCell ref="B23:F23"/>
    <mergeCell ref="B22:F22"/>
    <mergeCell ref="A3:F3"/>
    <mergeCell ref="B26:F26"/>
    <mergeCell ref="B18:F18"/>
    <mergeCell ref="B27:F27"/>
  </mergeCells>
  <pageMargins left="0.75" right="0.75" top="1" bottom="1" header="0.5" footer="0.5"/>
</worksheet>
</file>

<file path=xl/worksheets/sheet6.xml><?xml version="1.0" encoding="utf-8"?>
<worksheet xmlns="http://schemas.openxmlformats.org/spreadsheetml/2006/main">
  <sheetPr>
    <tabColor rgb="00CC0000"/>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50" customWidth="1" min="3" max="3"/>
    <col width="38" customWidth="1" min="4" max="4"/>
    <col width="28" customWidth="1" min="5" max="5"/>
  </cols>
  <sheetData>
    <row r="1" ht="44" customHeight="1">
      <c r="A1" s="45" t="inlineStr">
        <is>
          <t xml:space="preserve">  Moody's Data Estate  |  Product Catalog for Underwriting Applications</t>
        </is>
      </c>
    </row>
    <row r="2" ht="18" customHeight="1">
      <c r="A2" s="46" t="inlineStr">
        <is>
          <t xml:space="preserve">  13 integrated data products spanning credit, compliance, trade, cyber, physical risk, and macroeconomics — mapped to casualty &amp; financial lines underwriting</t>
        </is>
      </c>
    </row>
    <row r="3" ht="4" customHeight="1">
      <c r="A3" s="33" t="n"/>
    </row>
    <row r="4" ht="24" customHeight="1">
      <c r="A4" s="48" t="inlineStr">
        <is>
          <t>#</t>
        </is>
      </c>
      <c r="B4" s="48" t="inlineStr">
        <is>
          <t>Product Name</t>
        </is>
      </c>
      <c r="C4" s="48" t="inlineStr">
        <is>
          <t>What It Contains</t>
        </is>
      </c>
      <c r="D4" s="48" t="inlineStr">
        <is>
          <t>Best Used For in Underwriting</t>
        </is>
      </c>
      <c r="E4" s="48" t="inlineStr">
        <is>
          <t>LOBs Most Relevant</t>
        </is>
      </c>
    </row>
    <row r="5" ht="52" customHeight="1">
      <c r="A5" s="68" t="inlineStr">
        <is>
          <t>1</t>
        </is>
      </c>
      <c r="B5" s="69" t="inlineStr">
        <is>
          <t>Moody's Orbis (Bureau van Dijk)</t>
        </is>
      </c>
      <c r="C5" s="70" t="inlineStr">
        <is>
          <t>625M+ companies globally. Firmographics, financials (3–5yr standardized), ownership hierarchy, UBO disclosure, M&amp;A history, subsidiaries, foreign investments, 170+ data sources.</t>
        </is>
      </c>
      <c r="D5" s="70" t="inlineStr">
        <is>
          <t>Entity identification, financial analysis, ownership/UBO, corporate structure, M&amp;A history</t>
        </is>
      </c>
      <c r="E5" s="70" t="inlineStr">
        <is>
          <t>All LOBs — universal entity intelligence</t>
        </is>
      </c>
    </row>
    <row r="6" ht="52" customHeight="1">
      <c r="A6" s="71" t="inlineStr">
        <is>
          <t>2</t>
        </is>
      </c>
      <c r="B6" s="72" t="inlineStr">
        <is>
          <t>Moody's GRID (formerly RDC)</t>
        </is>
      </c>
      <c r="C6" s="73" t="inlineStr">
        <is>
          <t>World's largest curated risk database. Sanctions (daily updated, 200+ jurisdictions), PEPs, adverse media/news, watchlists, regulatory actions, enforcement events. Millions of profiles.</t>
        </is>
      </c>
      <c r="D6" s="73" t="inlineStr">
        <is>
          <t>Sanctions screening, PEP checks, adverse news, regulatory actions, reputational risk</t>
        </is>
      </c>
      <c r="E6" s="73" t="inlineStr">
        <is>
          <t>D&amp;O, E&amp;O, Trade Credit, Surety (compliance/conduct risk)</t>
        </is>
      </c>
    </row>
    <row r="7" ht="52" customHeight="1">
      <c r="A7" s="74" t="inlineStr">
        <is>
          <t>3</t>
        </is>
      </c>
      <c r="B7" s="75" t="inlineStr">
        <is>
          <t>Moody's EDF-X Credit Risk Models</t>
        </is>
      </c>
      <c r="C7" s="70" t="inlineStr">
        <is>
          <t>Probability of Default models for public companies (market-implied EDF), private companies (financial statement model), and payment behavior. Implied ratings for unrated entities. Early warning signals — 32% of US public cos flagged severe risk (post-pandemic high). Full portfolio monitoring.</t>
        </is>
      </c>
      <c r="D7" s="70" t="inlineStr">
        <is>
          <t>PD scores, implied ratings, early warning of credit deterioration, financial distress prediction</t>
        </is>
      </c>
      <c r="E7" s="70" t="inlineStr">
        <is>
          <t>D&amp;O, Trade Credit, Surety, Excess Casualty (credit risk)</t>
        </is>
      </c>
    </row>
    <row r="8" ht="52" customHeight="1">
      <c r="A8" s="76" t="inlineStr">
        <is>
          <t>4</t>
        </is>
      </c>
      <c r="B8" s="77" t="inlineStr">
        <is>
          <t>Moody's Cortera</t>
        </is>
      </c>
      <c r="C8" s="73" t="inlineStr">
        <is>
          <t>36M+ companies. $1.45T in annual B2B payment history. Trade payment data, delinquency scores, CPR credit risk scores, credit lines, tax liens, civil judgments, UCC filings, DOT safety data. Monitors bankruptcies, purchase behavior change, and growth signals.</t>
        </is>
      </c>
      <c r="D8" s="73" t="inlineStr">
        <is>
          <t>Trade payment behavior, credit risk for SMEs, delinquency signals, public records (liens, UCC), DOT</t>
        </is>
      </c>
      <c r="E8" s="73" t="inlineStr">
        <is>
          <t>Surety, Trade Credit, GL (SME credit &amp; payment behavior)</t>
        </is>
      </c>
    </row>
    <row r="9" ht="52" customHeight="1">
      <c r="A9" s="78" t="inlineStr">
        <is>
          <t>5</t>
        </is>
      </c>
      <c r="B9" s="79" t="inlineStr">
        <is>
          <t>Moody's BitSight</t>
        </is>
      </c>
      <c r="C9" s="70" t="inlineStr">
        <is>
          <t>Cyber risk scores based on external attack surface scanning. 40%+ more accurate claim prediction. Privacy risk assessment (LOKKER partnership). Threat intelligence, vulnerability exposure, security ratings. 30% YoY growth in insurance use as of 2025.</t>
        </is>
      </c>
      <c r="D9" s="70" t="inlineStr">
        <is>
          <t>Cyber risk scoring, external attack surface, security posture, privacy risk, cyber underwriting</t>
        </is>
      </c>
      <c r="E9" s="70" t="inlineStr">
        <is>
          <t>D&amp;O, E&amp;O (Tech), Excess Casualty (cyber-adjacent)</t>
        </is>
      </c>
    </row>
    <row r="10" ht="52" customHeight="1">
      <c r="A10" s="80" t="inlineStr">
        <is>
          <t>6</t>
        </is>
      </c>
      <c r="B10" s="81" t="inlineStr">
        <is>
          <t>Moody's Praedicat</t>
        </is>
      </c>
      <c r="C10" s="73" t="inlineStr">
        <is>
          <t>Casualty stochastic modeling platform. Identifies 'Litagion® agents' — products and chemicals with emerging mass tort potential (PFAS, talc, glyphosate, opioids, emerging compounds). Probabilistic loss modeling for GL, excess casualty, and products liability. Portfolio aggregation and accumulation management.</t>
        </is>
      </c>
      <c r="D10" s="73" t="inlineStr">
        <is>
          <t>Mass tort exposure, PFAS/emerging liability screening, casualty CAT modeling, product liability PML</t>
        </is>
      </c>
      <c r="E10" s="73" t="inlineStr">
        <is>
          <t>GL, Excess Casualty, E&amp;O (mass tort / emerging liability)</t>
        </is>
      </c>
    </row>
    <row r="11" ht="52" customHeight="1">
      <c r="A11" s="82" t="inlineStr">
        <is>
          <t>7</t>
        </is>
      </c>
      <c r="B11" s="83" t="inlineStr">
        <is>
          <t>Moody's RMS (Catastrophe Models)</t>
        </is>
      </c>
      <c r="C11" s="70" t="inlineStr">
        <is>
          <t>Industry-leading catastrophe models for hurricane, flood, earthquake, wildfire, severe convective storm, and more. Climate-conditioned models through 2100. HD models (North America SCS, Australia Bushfire released 2025). 6 climate change scenarios.</t>
        </is>
      </c>
      <c r="D11" s="70" t="inlineStr">
        <is>
          <t>Property cat risk, climate-conditioned loss modeling, PML estimates, physical risk quantification</t>
        </is>
      </c>
      <c r="E11" s="70" t="inlineStr">
        <is>
          <t>Excess Casualty, GL (physical/CAT risk to operations)</t>
        </is>
      </c>
    </row>
    <row r="12" ht="52" customHeight="1">
      <c r="A12" s="82" t="inlineStr">
        <is>
          <t>8</t>
        </is>
      </c>
      <c r="B12" s="83" t="inlineStr">
        <is>
          <t>Moody's Cape Analytics (acquired Jan 2025)</t>
        </is>
      </c>
      <c r="C12" s="73" t="inlineStr">
        <is>
          <t>AI/ML geospatial property intelligence. Address-level risk from aerial imagery + computer vision. Roof condition/age, wildfire risk, pool/trampoline/yard debris, 100s of property attributes. 8.2M+ US properties. Used by ~half of top-50 US P&amp;C insurers.</t>
        </is>
      </c>
      <c r="D12" s="73" t="inlineStr">
        <is>
          <t>Property-level risk attributes, roof condition, wildfire defensibility, premises risk scoring</t>
        </is>
      </c>
      <c r="E12" s="73" t="inlineStr">
        <is>
          <t>GL, Excess Casualty (premises risk intelligence)</t>
        </is>
      </c>
    </row>
    <row r="13" ht="52" customHeight="1">
      <c r="A13" s="84" t="inlineStr">
        <is>
          <t>9</t>
        </is>
      </c>
      <c r="B13" s="85" t="inlineStr">
        <is>
          <t>Moody's CreditView / OneView</t>
        </is>
      </c>
      <c r="C13" s="70" t="inlineStr">
        <is>
          <t>Flagship credit research platform. $75T+ rated debt, 33,000+ rated organizations. Sector analysis, real-time monitoring, GenAI research assistant. OneView extends to 400,000+ public/private companies. Named Best Credit Risk Provider 2025 (Waters Rankings).</t>
        </is>
      </c>
      <c r="D13" s="70" t="inlineStr">
        <is>
          <t>Credit research, rated entity analysis, sector outlooks, real-time credit monitoring, AI-powered research</t>
        </is>
      </c>
      <c r="E13" s="70" t="inlineStr">
        <is>
          <t>D&amp;O, Surety, Trade Credit (rated entities &amp; credit research)</t>
        </is>
      </c>
    </row>
    <row r="14" ht="52" customHeight="1">
      <c r="A14" s="86" t="inlineStr">
        <is>
          <t>10</t>
        </is>
      </c>
      <c r="B14" s="87" t="inlineStr">
        <is>
          <t>Moody's Analytics Economy.com</t>
        </is>
      </c>
      <c r="C14" s="73" t="inlineStr">
        <is>
          <t>Macro forecasts for 120+ countries, 30-year horizon, monthly updates, 10 alternative scenarios. 500K+ time series including CRE, labor, inflation, GDP. Subnational data (US states, metros). Sector-level economic forecasts. DFAST/CCAR stress scenario support.</t>
        </is>
      </c>
      <c r="D14" s="73" t="inlineStr">
        <is>
          <t>Country risk, macro scenario analysis, sector stress forecasting, economic cycle positioning, inflation/rates</t>
        </is>
      </c>
      <c r="E14" s="73" t="inlineStr">
        <is>
          <t>Trade Credit, D&amp;O, Excess Casualty (macro context &amp; forecasting)</t>
        </is>
      </c>
    </row>
    <row r="15" ht="52" customHeight="1">
      <c r="A15" s="88" t="inlineStr">
        <is>
          <t>11</t>
        </is>
      </c>
      <c r="B15" s="89" t="inlineStr">
        <is>
          <t>Moody's Investors Service Credit Ratings</t>
        </is>
      </c>
      <c r="C15" s="70" t="inlineStr">
        <is>
          <t>Issuer and issue ratings (Aaa → C). Rating outlooks (stable/positive/negative). Watch status (review for upgrade/downgrade). Rating migration history. Covers sovereign, corporate, financial institutions, structured finance, sub-sovereigns.</t>
        </is>
      </c>
      <c r="D15" s="70" t="inlineStr">
        <is>
          <t>Creditworthiness signal, default probability proxy, rating migration as early warning, counterparty risk</t>
        </is>
      </c>
      <c r="E15" s="70" t="inlineStr">
        <is>
          <t>D&amp;O, Trade Credit, Surety, E&amp;O (creditworthiness signals)</t>
        </is>
      </c>
    </row>
    <row r="16" ht="52" customHeight="1">
      <c r="A16" s="90" t="inlineStr">
        <is>
          <t>12</t>
        </is>
      </c>
      <c r="B16" s="91" t="inlineStr">
        <is>
          <t>Moody's CRE Data</t>
        </is>
      </c>
      <c r="C16" s="73" t="inlineStr">
        <is>
          <t>8.2M+ US properties, 275+ markets, 3,000 submarkets. Cap rates, NOI, vacancy, absorption, rent trends, lease data, submarket performance scores. Automated rent roll ingestion. Property-level and portfolio-level analytics.</t>
        </is>
      </c>
      <c r="D16" s="73" t="inlineStr">
        <is>
          <t>Property/real estate risk, collateral valuation, market rent trends, CRE credit underwriting</t>
        </is>
      </c>
      <c r="E16" s="73" t="inlineStr">
        <is>
          <t>GL, Surety, Excess Casualty (real estate / property exposure)</t>
        </is>
      </c>
    </row>
    <row r="17" ht="52" customHeight="1">
      <c r="A17" s="92" t="inlineStr">
        <is>
          <t>13</t>
        </is>
      </c>
      <c r="B17" s="93" t="inlineStr">
        <is>
          <t>Moody's Directors &amp; Officers Intelligence</t>
        </is>
      </c>
      <c r="C17" s="70" t="inlineStr">
        <is>
          <t>Executive profiles, contact information, board composition, director tenure, committee memberships, interlocking directorships, executive compensation data — drawn from Orbis, proxy filings, and proprietary D&amp;O data.</t>
        </is>
      </c>
      <c r="D17" s="70" t="inlineStr">
        <is>
          <t>Board governance quality, key person risk, management team depth, executive background screening</t>
        </is>
      </c>
      <c r="E17" s="70" t="inlineStr">
        <is>
          <t>D&amp;O, E&amp;O, Surety (management intelligence)</t>
        </is>
      </c>
    </row>
  </sheetData>
  <mergeCells count="3">
    <mergeCell ref="A2:E2"/>
    <mergeCell ref="A1:E1"/>
    <mergeCell ref="A3:E3"/>
  </mergeCells>
  <pageMargins left="0.75" right="0.75" top="1" bottom="1" header="0.5" footer="0.5"/>
</worksheet>
</file>

<file path=xl/worksheets/sheet7.xml><?xml version="1.0" encoding="utf-8"?>
<worksheet xmlns="http://schemas.openxmlformats.org/spreadsheetml/2006/main">
  <sheetPr>
    <tabColor rgb="002C5282"/>
    <outlinePr summaryBelow="1" summaryRight="1"/>
    <pageSetUpPr/>
  </sheetPr>
  <dimension ref="A1:G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s>
  <sheetData>
    <row r="1" ht="38" customHeight="1">
      <c r="A1" s="94" t="inlineStr">
        <is>
          <t xml:space="preserve">  Moody's Data Product × LOB Coverage Map</t>
        </is>
      </c>
    </row>
    <row r="2" ht="15" customHeight="1">
      <c r="A2" s="95" t="inlineStr">
        <is>
          <t xml:space="preserve">  ●●● = Primary / high-impact application   ●● = Secondary application   ● = Supporting / supplementary role</t>
        </is>
      </c>
    </row>
    <row r="3" ht="4" customHeight="1">
      <c r="A3" s="33" t="n"/>
    </row>
    <row r="4" ht="24" customHeight="1">
      <c r="A4" s="48" t="inlineStr">
        <is>
          <t>Moody's Data Product</t>
        </is>
      </c>
      <c r="B4" s="96" t="inlineStr">
        <is>
          <t>D&amp;O</t>
        </is>
      </c>
      <c r="C4" s="96" t="inlineStr">
        <is>
          <t>E&amp;O</t>
        </is>
      </c>
      <c r="D4" s="96" t="inlineStr">
        <is>
          <t>Surety</t>
        </is>
      </c>
      <c r="E4" s="96" t="inlineStr">
        <is>
          <t>Trade Credit</t>
        </is>
      </c>
      <c r="F4" s="96" t="inlineStr">
        <is>
          <t>GL</t>
        </is>
      </c>
      <c r="G4" s="96" t="inlineStr">
        <is>
          <t>Excess Casualty</t>
        </is>
      </c>
    </row>
    <row r="5" ht="24" customHeight="1">
      <c r="A5" s="97" t="inlineStr">
        <is>
          <t>Moody's Orbis (Bureau van Dijk)</t>
        </is>
      </c>
      <c r="B5" s="98" t="inlineStr">
        <is>
          <t>●●●</t>
        </is>
      </c>
      <c r="C5" s="98" t="inlineStr">
        <is>
          <t>●●●</t>
        </is>
      </c>
      <c r="D5" s="98" t="inlineStr">
        <is>
          <t>●●●</t>
        </is>
      </c>
      <c r="E5" s="98" t="inlineStr">
        <is>
          <t>●●●</t>
        </is>
      </c>
      <c r="F5" s="98" t="inlineStr">
        <is>
          <t>●●●</t>
        </is>
      </c>
      <c r="G5" s="99" t="inlineStr">
        <is>
          <t>●●</t>
        </is>
      </c>
    </row>
    <row r="6" ht="24" customHeight="1">
      <c r="A6" s="100" t="inlineStr">
        <is>
          <t>Moody's GRID (formerly RDC)</t>
        </is>
      </c>
      <c r="B6" s="98" t="inlineStr">
        <is>
          <t>●●●</t>
        </is>
      </c>
      <c r="C6" s="98" t="inlineStr">
        <is>
          <t>●●●</t>
        </is>
      </c>
      <c r="D6" s="98" t="inlineStr">
        <is>
          <t>●●●</t>
        </is>
      </c>
      <c r="E6" s="98" t="inlineStr">
        <is>
          <t>●●●</t>
        </is>
      </c>
      <c r="F6" s="99" t="inlineStr">
        <is>
          <t>●●</t>
        </is>
      </c>
      <c r="G6" s="99" t="inlineStr">
        <is>
          <t>●●</t>
        </is>
      </c>
    </row>
    <row r="7" ht="24" customHeight="1">
      <c r="A7" s="101" t="inlineStr">
        <is>
          <t>Moody's EDF-X Credit Risk Models</t>
        </is>
      </c>
      <c r="B7" s="98" t="inlineStr">
        <is>
          <t>●●●</t>
        </is>
      </c>
      <c r="C7" s="99" t="inlineStr">
        <is>
          <t>●●</t>
        </is>
      </c>
      <c r="D7" s="98" t="inlineStr">
        <is>
          <t>●●●</t>
        </is>
      </c>
      <c r="E7" s="98" t="inlineStr">
        <is>
          <t>●●●</t>
        </is>
      </c>
      <c r="F7" s="102" t="inlineStr">
        <is>
          <t>●</t>
        </is>
      </c>
      <c r="G7" s="99" t="inlineStr">
        <is>
          <t>●●</t>
        </is>
      </c>
    </row>
    <row r="8" ht="24" customHeight="1">
      <c r="A8" s="103" t="inlineStr">
        <is>
          <t>Moody's Cortera</t>
        </is>
      </c>
      <c r="B8" s="102" t="inlineStr">
        <is>
          <t>●</t>
        </is>
      </c>
      <c r="C8" s="102" t="inlineStr">
        <is>
          <t>●</t>
        </is>
      </c>
      <c r="D8" s="98" t="inlineStr">
        <is>
          <t>●●●</t>
        </is>
      </c>
      <c r="E8" s="98" t="inlineStr">
        <is>
          <t>●●●</t>
        </is>
      </c>
      <c r="F8" s="99" t="inlineStr">
        <is>
          <t>●●</t>
        </is>
      </c>
      <c r="G8" s="102" t="inlineStr">
        <is>
          <t>●</t>
        </is>
      </c>
    </row>
    <row r="9" ht="24" customHeight="1">
      <c r="A9" s="104" t="inlineStr">
        <is>
          <t>Moody's BitSight</t>
        </is>
      </c>
      <c r="B9" s="98" t="inlineStr">
        <is>
          <t>●●●</t>
        </is>
      </c>
      <c r="C9" s="98" t="inlineStr">
        <is>
          <t>●●●</t>
        </is>
      </c>
      <c r="D9" s="102" t="inlineStr">
        <is>
          <t>●</t>
        </is>
      </c>
      <c r="E9" s="102" t="inlineStr">
        <is>
          <t>●</t>
        </is>
      </c>
      <c r="F9" s="99" t="inlineStr">
        <is>
          <t>●●</t>
        </is>
      </c>
      <c r="G9" s="99" t="inlineStr">
        <is>
          <t>●●</t>
        </is>
      </c>
    </row>
    <row r="10" ht="24" customHeight="1">
      <c r="A10" s="105" t="inlineStr">
        <is>
          <t>Moody's Praedicat</t>
        </is>
      </c>
      <c r="B10" s="102" t="inlineStr">
        <is>
          <t>●</t>
        </is>
      </c>
      <c r="C10" s="102" t="inlineStr">
        <is>
          <t>●</t>
        </is>
      </c>
      <c r="D10" s="102" t="inlineStr">
        <is>
          <t>●</t>
        </is>
      </c>
      <c r="E10" s="99" t="inlineStr">
        <is>
          <t>●●</t>
        </is>
      </c>
      <c r="F10" s="98" t="inlineStr">
        <is>
          <t>●●●</t>
        </is>
      </c>
      <c r="G10" s="98" t="inlineStr">
        <is>
          <t>●●●</t>
        </is>
      </c>
    </row>
    <row r="11" ht="24" customHeight="1">
      <c r="A11" s="106" t="inlineStr">
        <is>
          <t>Moody's RMS (Catastrophe Models)</t>
        </is>
      </c>
      <c r="B11" s="102" t="inlineStr">
        <is>
          <t>●</t>
        </is>
      </c>
      <c r="C11" s="102" t="inlineStr">
        <is>
          <t>●</t>
        </is>
      </c>
      <c r="D11" s="102" t="inlineStr">
        <is>
          <t>●</t>
        </is>
      </c>
      <c r="E11" s="102" t="inlineStr">
        <is>
          <t>●</t>
        </is>
      </c>
      <c r="F11" s="99" t="inlineStr">
        <is>
          <t>●●</t>
        </is>
      </c>
      <c r="G11" s="99" t="inlineStr">
        <is>
          <t>●●</t>
        </is>
      </c>
    </row>
    <row r="12" ht="24" customHeight="1">
      <c r="A12" s="106" t="inlineStr">
        <is>
          <t>Moody's Cape Analytics (acquired Jan 2025)</t>
        </is>
      </c>
      <c r="B12" s="102" t="inlineStr">
        <is>
          <t>●</t>
        </is>
      </c>
      <c r="C12" s="102" t="inlineStr">
        <is>
          <t>●</t>
        </is>
      </c>
      <c r="D12" s="102" t="inlineStr">
        <is>
          <t>●</t>
        </is>
      </c>
      <c r="E12" s="102" t="inlineStr">
        <is>
          <t>●</t>
        </is>
      </c>
      <c r="F12" s="98" t="inlineStr">
        <is>
          <t>●●●</t>
        </is>
      </c>
      <c r="G12" s="99" t="inlineStr">
        <is>
          <t>●●</t>
        </is>
      </c>
    </row>
    <row r="13" ht="24" customHeight="1">
      <c r="A13" s="107" t="inlineStr">
        <is>
          <t>Moody's CreditView / OneView</t>
        </is>
      </c>
      <c r="B13" s="98" t="inlineStr">
        <is>
          <t>●●●</t>
        </is>
      </c>
      <c r="C13" s="99" t="inlineStr">
        <is>
          <t>●●</t>
        </is>
      </c>
      <c r="D13" s="98" t="inlineStr">
        <is>
          <t>●●●</t>
        </is>
      </c>
      <c r="E13" s="98" t="inlineStr">
        <is>
          <t>●●●</t>
        </is>
      </c>
      <c r="F13" s="102" t="inlineStr">
        <is>
          <t>●</t>
        </is>
      </c>
      <c r="G13" s="99" t="inlineStr">
        <is>
          <t>●●</t>
        </is>
      </c>
    </row>
    <row r="14" ht="24" customHeight="1">
      <c r="A14" s="108" t="inlineStr">
        <is>
          <t>Moody's Analytics Economy.com</t>
        </is>
      </c>
      <c r="B14" s="99" t="inlineStr">
        <is>
          <t>●●</t>
        </is>
      </c>
      <c r="C14" s="102" t="inlineStr">
        <is>
          <t>●</t>
        </is>
      </c>
      <c r="D14" s="102" t="inlineStr">
        <is>
          <t>●</t>
        </is>
      </c>
      <c r="E14" s="98" t="inlineStr">
        <is>
          <t>●●●</t>
        </is>
      </c>
      <c r="F14" s="99" t="inlineStr">
        <is>
          <t>●●</t>
        </is>
      </c>
      <c r="G14" s="99" t="inlineStr">
        <is>
          <t>●●</t>
        </is>
      </c>
    </row>
    <row r="15" ht="24" customHeight="1">
      <c r="A15" s="109" t="inlineStr">
        <is>
          <t>Moody's Investors Service Credit Ratings</t>
        </is>
      </c>
      <c r="B15" s="98" t="inlineStr">
        <is>
          <t>●●●</t>
        </is>
      </c>
      <c r="C15" s="99" t="inlineStr">
        <is>
          <t>●●</t>
        </is>
      </c>
      <c r="D15" s="98" t="inlineStr">
        <is>
          <t>●●●</t>
        </is>
      </c>
      <c r="E15" s="98" t="inlineStr">
        <is>
          <t>●●●</t>
        </is>
      </c>
      <c r="F15" s="102" t="inlineStr">
        <is>
          <t>●</t>
        </is>
      </c>
      <c r="G15" s="102" t="inlineStr">
        <is>
          <t>●</t>
        </is>
      </c>
    </row>
    <row r="16" ht="24" customHeight="1">
      <c r="A16" s="110" t="inlineStr">
        <is>
          <t>Moody's CRE Data</t>
        </is>
      </c>
      <c r="B16" s="102" t="inlineStr">
        <is>
          <t>●</t>
        </is>
      </c>
      <c r="C16" s="102" t="inlineStr">
        <is>
          <t>●</t>
        </is>
      </c>
      <c r="D16" s="99" t="inlineStr">
        <is>
          <t>●●</t>
        </is>
      </c>
      <c r="E16" s="102" t="inlineStr">
        <is>
          <t>●</t>
        </is>
      </c>
      <c r="F16" s="99" t="inlineStr">
        <is>
          <t>●●</t>
        </is>
      </c>
      <c r="G16" s="102" t="inlineStr">
        <is>
          <t>●</t>
        </is>
      </c>
    </row>
    <row r="17" ht="24" customHeight="1">
      <c r="A17" s="111" t="inlineStr">
        <is>
          <t>Moody's Directors &amp; Officers Intelligence</t>
        </is>
      </c>
      <c r="B17" s="98" t="inlineStr">
        <is>
          <t>●●●</t>
        </is>
      </c>
      <c r="C17" s="98" t="inlineStr">
        <is>
          <t>●●●</t>
        </is>
      </c>
      <c r="D17" s="99" t="inlineStr">
        <is>
          <t>●●</t>
        </is>
      </c>
      <c r="E17" s="102" t="inlineStr">
        <is>
          <t>●</t>
        </is>
      </c>
      <c r="F17" s="102" t="inlineStr">
        <is>
          <t>●</t>
        </is>
      </c>
      <c r="G17" s="102" t="inlineStr">
        <is>
          <t>●</t>
        </is>
      </c>
    </row>
  </sheetData>
  <mergeCells count="3">
    <mergeCell ref="A3:G3"/>
    <mergeCell ref="A2:G2"/>
    <mergeCell ref="A1:G1"/>
  </mergeCells>
  <pageMargins left="0.75" right="0.75" top="1" bottom="1" header="0.5" footer="0.5"/>
</worksheet>
</file>

<file path=xl/worksheets/sheet8.xml><?xml version="1.0" encoding="utf-8"?>
<worksheet xmlns="http://schemas.openxmlformats.org/spreadsheetml/2006/main">
  <sheetPr>
    <tabColor rgb="002C5282"/>
    <outlinePr summaryBelow="1" summaryRight="1"/>
    <pageSetUpPr/>
  </sheetPr>
  <dimension ref="A1:I30"/>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40" customWidth="1" min="3" max="3"/>
    <col width="38" customWidth="1" min="4" max="4"/>
    <col width="16" customWidth="1" min="5" max="5"/>
    <col width="28" customWidth="1" min="6" max="6"/>
    <col width="13" customWidth="1" min="7" max="7"/>
    <col width="36" customWidth="1" min="8" max="8"/>
    <col width="42" customWidth="1" min="9" max="9"/>
  </cols>
  <sheetData>
    <row r="1" ht="30" customHeight="1">
      <c r="A1" s="112" t="inlineStr">
        <is>
          <t xml:space="preserve">  D&amp;O — Directors &amp; Officers Liability  |  Underwriting Intelligence Framework</t>
        </is>
      </c>
    </row>
    <row r="2" ht="16" customHeight="1">
      <c r="A2" s="113" t="inlineStr">
        <is>
          <t xml:space="preserve">  Protects executives and directors from claims alleging wrongful acts in managing the organization.</t>
        </is>
      </c>
    </row>
    <row r="3" ht="16" customHeight="1">
      <c r="A3" s="114" t="inlineStr">
        <is>
          <t xml:space="preserve">  Typical Clients: Public companies, PE-backed firms, private companies, non-profits, SPACs, IPO candidates</t>
        </is>
      </c>
    </row>
    <row r="4" ht="4" customHeight="1">
      <c r="A4" s="33" t="n"/>
    </row>
    <row r="5" ht="15" customHeight="1">
      <c r="A5" s="115" t="inlineStr">
        <is>
          <t xml:space="preserve">  UNDERWRITING PROCESS FLOW</t>
        </is>
      </c>
    </row>
    <row r="6" ht="26" customHeight="1">
      <c r="A6" s="116" t="inlineStr">
        <is>
          <t xml:space="preserve">  1. Initial Triage ▶</t>
        </is>
      </c>
      <c r="B6" s="117" t="inlineStr">
        <is>
          <t xml:space="preserve">  2. Financial Analysis ▶</t>
        </is>
      </c>
      <c r="C6" s="116" t="inlineStr">
        <is>
          <t xml:space="preserve">  3. Governance Review ▶</t>
        </is>
      </c>
      <c r="D6" s="117" t="inlineStr">
        <is>
          <t xml:space="preserve">  4. Litigation/Claims ▶</t>
        </is>
      </c>
      <c r="E6" s="116" t="inlineStr">
        <is>
          <t xml:space="preserve">  5. Pricing &amp; Structure ▶</t>
        </is>
      </c>
      <c r="F6" s="117" t="inlineStr">
        <is>
          <t xml:space="preserve">  6. Bind / Decline</t>
        </is>
      </c>
    </row>
    <row r="7" ht="26" customHeight="1">
      <c r="A7" s="118" t="inlineStr">
        <is>
          <t xml:space="preserve">  Public/Private/NFP, industry, revenue, domicile — determines market &amp; form</t>
        </is>
      </c>
      <c r="B7" s="118" t="inlineStr">
        <is>
          <t xml:space="preserve">  Balance sheet, leverage, profitability, going concern — 3–5yr trend</t>
        </is>
      </c>
      <c r="C7" s="118" t="inlineStr">
        <is>
          <t xml:space="preserve">  Board independence, audit quality, exec comp, related-party transactions</t>
        </is>
      </c>
      <c r="D7" s="118" t="inlineStr">
        <is>
          <t xml:space="preserve">  Prior D&amp;O claims, securities suits, regulatory investigations, SEC actions</t>
        </is>
      </c>
      <c r="E7" s="118" t="inlineStr">
        <is>
          <t xml:space="preserve">  Retention, limits, Side A/B/C, entity coverage, tower placement</t>
        </is>
      </c>
      <c r="F7" s="118" t="inlineStr">
        <is>
          <t xml:space="preserve">  Portfolio concentration check, reinsurance treaty fit, risk appetite sign-off</t>
        </is>
      </c>
    </row>
    <row r="8" ht="5" customHeight="1"/>
    <row r="9" ht="30" customHeight="1">
      <c r="A9" s="119" t="inlineStr">
        <is>
          <t>Category</t>
        </is>
      </c>
      <c r="B9" s="119" t="inlineStr">
        <is>
          <t>Data Point / Input</t>
        </is>
      </c>
      <c r="C9" s="119" t="inlineStr">
        <is>
          <t>What Underwriters Look For</t>
        </is>
      </c>
      <c r="D9" s="119" t="inlineStr">
        <is>
          <t>How It Drives the Decision</t>
        </is>
      </c>
      <c r="E9" s="119" t="inlineStr">
        <is>
          <t>Signal</t>
        </is>
      </c>
      <c r="F9" s="119" t="inlineStr">
        <is>
          <t>Primary Data Source Today</t>
        </is>
      </c>
      <c r="G9" s="119" t="inlineStr">
        <is>
          <t>Importance</t>
        </is>
      </c>
      <c r="H9" s="119" t="inlineStr">
        <is>
          <t>Nice to Have (Current Gap)</t>
        </is>
      </c>
      <c r="I9" s="120" t="inlineStr">
        <is>
          <t>Moody's Data Opportunity</t>
        </is>
      </c>
    </row>
    <row r="10" ht="46" customHeight="1">
      <c r="A10" s="121" t="inlineStr">
        <is>
          <t>Company Fundamentals</t>
        </is>
      </c>
      <c r="B10" s="122" t="inlineStr">
        <is>
          <t>Revenue / Total Assets</t>
        </is>
      </c>
      <c r="C10" s="40" t="inlineStr">
        <is>
          <t>Size of enterprise defines exposure quantum. Revenue correlates with securities class action severity. Larger = higher limits needed.</t>
        </is>
      </c>
      <c r="D10" s="40" t="inlineStr">
        <is>
          <t>Sets the premium anchor. Sub-$50M → simplified app. &gt;$5B → full submission with 3yr audited financials.</t>
        </is>
      </c>
      <c r="E10" s="123" t="inlineStr">
        <is>
          <t>💰 Pricing Driver</t>
        </is>
      </c>
      <c r="F10" s="124" t="inlineStr">
        <is>
          <t>Application, Annual Report, SEC 10-K</t>
        </is>
      </c>
      <c r="G10" s="121" t="inlineStr">
        <is>
          <t>High</t>
        </is>
      </c>
      <c r="H10" s="125" t="inlineStr">
        <is>
          <t>Revenue growth trajectory YoY; quality of revenue (recurring vs. project-based)</t>
        </is>
      </c>
      <c r="I10" s="37" t="inlineStr">
        <is>
          <t>📦 Orbis: Standardized 3–5yr financials for 625M+ companies. 📦 CreditView/OneView: Financial trends + GenAI summary for rated entities. 📦 EDF-X: Revenue quality and leverage trends for private cos.</t>
        </is>
      </c>
    </row>
    <row r="11" ht="46" customHeight="1">
      <c r="A11" s="121" t="n"/>
      <c r="B11" s="122" t="inlineStr">
        <is>
          <t>Market Cap &amp; Share Price Volatility</t>
        </is>
      </c>
      <c r="C11" s="40" t="inlineStr">
        <is>
          <t>Beta, float, price decline &gt;30% in 12mo = securities suit magnet. SPAC discount, low float = manipulation risk.</t>
        </is>
      </c>
      <c r="D11" s="40" t="inlineStr">
        <is>
          <t>Depressed/volatile mkt cap = class action trigger. Often leads to declination or heavy retention load.</t>
        </is>
      </c>
      <c r="E11" s="126" t="inlineStr">
        <is>
          <t>🚨 Red Flag</t>
        </is>
      </c>
      <c r="F11" s="124" t="inlineStr">
        <is>
          <t>Bloomberg, SEC filings, exchange data</t>
        </is>
      </c>
      <c r="G11" s="121" t="inlineStr">
        <is>
          <t>High</t>
        </is>
      </c>
      <c r="H11" s="125" t="inlineStr">
        <is>
          <t>Short interest ratio; institutional vs. retail ownership split; peer relative performance</t>
        </is>
      </c>
      <c r="I11" s="37" t="inlineStr">
        <is>
          <t>📦 EDF-X: Market-implied EDF uses equity vol + price to derive PD — captures market stress signals before financials show it. 📦 CreditView: Rated entity market analysis + implied ratings. 📦 Orbis: Market cap, share data, equity filings.</t>
        </is>
      </c>
    </row>
    <row r="12" ht="46" customHeight="1">
      <c r="A12" s="121" t="n"/>
      <c r="B12" s="122" t="inlineStr">
        <is>
          <t>Industry / SIC Code</t>
        </is>
      </c>
      <c r="C12" s="40" t="inlineStr">
        <is>
          <t>High-risk sectors: biotech, crypto, cannabis, financial services, SPACs, ESG cos. Pre-revenue tech = elevated risk.</t>
        </is>
      </c>
      <c r="D12" s="40" t="inlineStr">
        <is>
          <t>Industry drives base rate and appetite. Financial services and healthcare get highest scrutiny globally.</t>
        </is>
      </c>
      <c r="E12" s="123" t="inlineStr">
        <is>
          <t>💰 Pricing Driver</t>
        </is>
      </c>
      <c r="F12" s="124" t="inlineStr">
        <is>
          <t>Application, SIC/NAICS classification</t>
        </is>
      </c>
      <c r="G12" s="121" t="inlineStr">
        <is>
          <t>High</t>
        </is>
      </c>
      <c r="H12" s="125" t="inlineStr">
        <is>
          <t>Industry peer loss benchmarking; sector litigation frequency index</t>
        </is>
      </c>
      <c r="I12" s="37" t="inlineStr">
        <is>
          <t>📦 Orbis: SIC/NAICS classification for 625M+ entities. 📦 Economy.com: Sector-level default rate forecasts and stress scenarios by industry. 📦 Praedicat: Sector-level liability litigation risk profiling.</t>
        </is>
      </c>
    </row>
    <row r="13" ht="46" customHeight="1">
      <c r="A13" s="121" t="n"/>
      <c r="B13" s="122" t="inlineStr">
        <is>
          <t>Public vs. Private vs. NFP</t>
        </is>
      </c>
      <c r="C13" s="40" t="inlineStr">
        <is>
          <t>Public = securities fraud exposure. Private = buyer/seller reps risk. NFP = governance/employment suits.</t>
        </is>
      </c>
      <c r="D13" s="40" t="inlineStr">
        <is>
          <t>Determines Side A/B/C applicability, pricing tier, and disclosure standard required.</t>
        </is>
      </c>
      <c r="E13" s="127" t="inlineStr">
        <is>
          <t>📋 Coverage Driver</t>
        </is>
      </c>
      <c r="F13" s="124" t="inlineStr">
        <is>
          <t>Application, state/exchange filings</t>
        </is>
      </c>
      <c r="G13" s="121" t="inlineStr">
        <is>
          <t>High</t>
        </is>
      </c>
      <c r="H13" s="125" t="inlineStr">
        <is>
          <t>IPO plans in 12–24 months; SPAC merger status; PE-backed flag</t>
        </is>
      </c>
      <c r="I13" s="37" t="inlineStr">
        <is>
          <t>📦 Orbis: Entity type classification — public/private/govt/NFP/listed exchange. 📦 EDF-X: Private company PD model specifically calibrated for non-listed entities.</t>
        </is>
      </c>
    </row>
    <row r="14" ht="46" customHeight="1">
      <c r="A14" s="121" t="inlineStr">
        <is>
          <t>Financial Health</t>
        </is>
      </c>
      <c r="B14" s="122" t="inlineStr">
        <is>
          <t>Leverage Ratio (Debt/EBITDA)</t>
        </is>
      </c>
      <c r="C14" s="40" t="inlineStr">
        <is>
          <t>High leverage signals financial stress. &gt;6x is concern. Covenant violations = management decisions being challenged.</t>
        </is>
      </c>
      <c r="D14" s="40" t="inlineStr">
        <is>
          <t>High leverage → insolvency-related D&amp;O claims. Drives retention increases and often exclusions.</t>
        </is>
      </c>
      <c r="E14" s="126" t="inlineStr">
        <is>
          <t>🚨 Red Flag</t>
        </is>
      </c>
      <c r="F14" s="124" t="inlineStr">
        <is>
          <t>Audited financial statements, credit reports</t>
        </is>
      </c>
      <c r="G14" s="121" t="inlineStr">
        <is>
          <t>High</t>
        </is>
      </c>
      <c r="H14" s="125" t="inlineStr">
        <is>
          <t>Covenant headroom; refinancing risk in next 18 months; interest coverage trend</t>
        </is>
      </c>
      <c r="I14" s="37" t="inlineStr">
        <is>
          <t>📦 EDF-X: Private company PD model + leverage ratio as key input. 📦 CreditView: Leverage analysis for rated issuers + sector comparisons. 📦 Orbis: Multi-year balance sheet with debt structure. 📦 Ratings: Investment-grade vs. sub-IG as proxy for leverage sustainability.</t>
        </is>
      </c>
    </row>
    <row r="15" ht="46" customHeight="1">
      <c r="A15" s="121" t="n"/>
      <c r="B15" s="122" t="inlineStr">
        <is>
          <t>Profitability Trend (3–5 years)</t>
        </is>
      </c>
      <c r="C15" s="40" t="inlineStr">
        <is>
          <t>Sustained losses = distress signal. Earnings restatements = massive red flag. Revenue recognition issues = declination.</t>
        </is>
      </c>
      <c r="D15" s="40" t="inlineStr">
        <is>
          <t>Deteriorating profitability increases management pressure → D&amp;O exposure spike.</t>
        </is>
      </c>
      <c r="E15" s="126" t="inlineStr">
        <is>
          <t>🚨 Red Flag</t>
        </is>
      </c>
      <c r="F15" s="124" t="inlineStr">
        <is>
          <t>Audited financials, MD&amp;A, earnings calls</t>
        </is>
      </c>
      <c r="G15" s="121" t="inlineStr">
        <is>
          <t>High</t>
        </is>
      </c>
      <c r="H15" s="125" t="inlineStr">
        <is>
          <t>Earnings quality score; accrual ratio; cash vs. GAAP gap; segment margin analysis</t>
        </is>
      </c>
      <c r="I15" s="37" t="inlineStr">
        <is>
          <t>📦 EDF-X: Accounting quality scoring + earnings sustainability metrics. 📦 Orbis: Standardized multi-year P&amp;L across all company types. 📦 CreditView: Research analyst commentary on earnings quality for rated entities.</t>
        </is>
      </c>
    </row>
    <row r="16" ht="46" customHeight="1">
      <c r="A16" s="121" t="n"/>
      <c r="B16" s="122" t="inlineStr">
        <is>
          <t>Going Concern Opinion</t>
        </is>
      </c>
      <c r="C16" s="40" t="inlineStr">
        <is>
          <t>Auditor going concern qualification = near-automatic declination or exclusion for insolvency-related claims.</t>
        </is>
      </c>
      <c r="D16" s="40" t="inlineStr">
        <is>
          <t>Single biggest coverage trigger. Leads to Side A-only offers or flat declinations.</t>
        </is>
      </c>
      <c r="E16" s="126" t="inlineStr">
        <is>
          <t>🚨 Red Flag</t>
        </is>
      </c>
      <c r="F16" s="124" t="inlineStr">
        <is>
          <t>Audit opinion in 10-K or annual accounts</t>
        </is>
      </c>
      <c r="G16" s="121" t="inlineStr">
        <is>
          <t>High</t>
        </is>
      </c>
      <c r="H16" s="125" t="inlineStr">
        <is>
          <t>Time since last going concern; remediation steps; new auditor appointment</t>
        </is>
      </c>
      <c r="I16" s="37" t="inlineStr">
        <is>
          <t>📦 EDF-X: EDF (Expected Default Frequency) scores are the quantitative proxy for going concern risk — high EDF = distress. 📦 EDF-X Early Warning System: Flags 32% of US public cos at severe risk. 📦 Orbis: Auditor name and changes flagged.</t>
        </is>
      </c>
    </row>
    <row r="17" ht="46" customHeight="1">
      <c r="A17" s="121" t="n"/>
      <c r="B17" s="122" t="inlineStr">
        <is>
          <t>Credit Rating / Implied Rating</t>
        </is>
      </c>
      <c r="C17" s="40" t="inlineStr">
        <is>
          <t>Rated company = creditworthiness baseline. Rating downgrade in 12mo = claims predictor. Sub-IG = high risk.</t>
        </is>
      </c>
      <c r="D17" s="40" t="inlineStr">
        <is>
          <t>Investment grade = favorable terms. Below BB = pricing load. CCC/D = decline.</t>
        </is>
      </c>
      <c r="E17" s="123" t="inlineStr">
        <is>
          <t>💰 Pricing Driver</t>
        </is>
      </c>
      <c r="F17" s="124" t="inlineStr">
        <is>
          <t>Moody's, S&amp;P, Fitch ratings agencies</t>
        </is>
      </c>
      <c r="G17" s="121" t="inlineStr">
        <is>
          <t>High</t>
        </is>
      </c>
      <c r="H17" s="125" t="inlineStr">
        <is>
          <t>Rating outlook (stable vs. negative watch); migration history over 3 years</t>
        </is>
      </c>
      <c r="I17" s="37" t="inlineStr">
        <is>
          <t>📦 Ratings: Direct Moody's issuer ratings (Aaa→C) + outlook + watch status. 📦 EDF-X: Implied ratings for UNRATED private companies — fills the gap for 95%+ of entities that lack public ratings. 📦 CreditView: Rating rationale + sector comparison.</t>
        </is>
      </c>
    </row>
    <row r="18" ht="46" customHeight="1">
      <c r="A18" s="121" t="inlineStr">
        <is>
          <t>Governance</t>
        </is>
      </c>
      <c r="B18" s="122" t="inlineStr">
        <is>
          <t>Board Composition &amp; Independence</t>
        </is>
      </c>
      <c r="C18" s="40" t="inlineStr">
        <is>
          <t>% independent directors. Audit committee expertise. Lead independent director. Dual-class shares (entrenchment risk).</t>
        </is>
      </c>
      <c r="D18" s="40" t="inlineStr">
        <is>
          <t>Weak governance = increased probability of management misconduct claims. Key D&amp;O pricing factor.</t>
        </is>
      </c>
      <c r="E18" s="123" t="inlineStr">
        <is>
          <t>💰 Pricing Driver</t>
        </is>
      </c>
      <c r="F18" s="124" t="inlineStr">
        <is>
          <t>SEC proxy (DEF 14A), governance databases</t>
        </is>
      </c>
      <c r="G18" s="121" t="inlineStr">
        <is>
          <t>High</t>
        </is>
      </c>
      <c r="H18" s="125" t="inlineStr">
        <is>
          <t>Director tenure analysis; interlocking directorships; board diversity metrics; committee quality</t>
        </is>
      </c>
      <c r="I18" s="37" t="inlineStr">
        <is>
          <t>📦 D&amp;O Data: Moody's executive and director intelligence — board composition, committee roles, tenure. 📦 Orbis: Ownership and governance structure. 📦 CreditView: ESG governance sub-scores + board quality analysis for rated entities.</t>
        </is>
      </c>
    </row>
    <row r="19" ht="46" customHeight="1">
      <c r="A19" s="128" t="n"/>
      <c r="B19" s="129" t="inlineStr">
        <is>
          <t>Executive Compensation Structure</t>
        </is>
      </c>
      <c r="C19" s="40" t="inlineStr">
        <is>
          <t>Pay-for-performance alignment. Excessive comp vs. peers = shareholder suit risk. Clawback policies present?</t>
        </is>
      </c>
      <c r="D19" s="40" t="inlineStr">
        <is>
          <t>Misaligned comp = shareholder derivative risk. Clawbacks = positive indicator.</t>
        </is>
      </c>
      <c r="E19" s="130" t="inlineStr">
        <is>
          <t>⚠️ Review Trigger</t>
        </is>
      </c>
      <c r="F19" s="124" t="inlineStr">
        <is>
          <t>SEC DEF 14A proxy statement</t>
        </is>
      </c>
      <c r="G19" s="128" t="inlineStr">
        <is>
          <t>Medium</t>
        </is>
      </c>
      <c r="H19" s="125" t="inlineStr">
        <is>
          <t>CEO pay ratio vs. industry median; equity comp as % of total; deferred vs. current</t>
        </is>
      </c>
      <c r="I19" s="37" t="inlineStr">
        <is>
          <t>📦 D&amp;O Data: Executive compensation data + benchmarking vs. sector peers. 📦 Orbis: Executive profiles + compensation disclosures where available. 📦 CreditView: ESG governance metrics including exec pay alignment scores.</t>
        </is>
      </c>
    </row>
    <row r="20" ht="46" customHeight="1">
      <c r="A20" s="121" t="n"/>
      <c r="B20" s="122" t="inlineStr">
        <is>
          <t>Related Party Transactions</t>
        </is>
      </c>
      <c r="C20" s="40" t="inlineStr">
        <is>
          <t>Transactions with insiders/family. Self-dealing = major trigger for derivative suits.</t>
        </is>
      </c>
      <c r="D20" s="40" t="inlineStr">
        <is>
          <t>Any undisclosed RPTs = declination signal. Disclosed RPTs reviewed for materiality.</t>
        </is>
      </c>
      <c r="E20" s="126" t="inlineStr">
        <is>
          <t>🚨 Red Flag</t>
        </is>
      </c>
      <c r="F20" s="124" t="inlineStr">
        <is>
          <t>SEC filings, annual report footnotes</t>
        </is>
      </c>
      <c r="G20" s="121" t="inlineStr">
        <is>
          <t>High</t>
        </is>
      </c>
      <c r="H20" s="125" t="inlineStr">
        <is>
          <t>RPT frequency over 3 years; board approval process quality; independent audit of RPTs</t>
        </is>
      </c>
      <c r="I20" s="37" t="inlineStr">
        <is>
          <t>📦 Orbis: UBO and corporate ownership trees — identify hidden related-party relationships across subsidiaries. 📦 RDC/GRID: Adverse news on insider transactions. 📦 D&amp;O Data: Director/officer profiles cross-referenced against corporate ownership.</t>
        </is>
      </c>
    </row>
    <row r="21" ht="46" customHeight="1">
      <c r="A21" s="128" t="n"/>
      <c r="B21" s="129" t="inlineStr">
        <is>
          <t>Shareholder Activism History</t>
        </is>
      </c>
      <c r="C21" s="40" t="inlineStr">
        <is>
          <t>Any activist campaigns in past 3 years. Short-seller attacks. Proxy contests.</t>
        </is>
      </c>
      <c r="D21" s="40" t="inlineStr">
        <is>
          <t>Active campaigns increase claim frequency. Short-seller report = near-certain D&amp;O claim follows.</t>
        </is>
      </c>
      <c r="E21" s="126" t="inlineStr">
        <is>
          <t>🚨 Red Flag</t>
        </is>
      </c>
      <c r="F21" s="124" t="inlineStr">
        <is>
          <t>13D/G filings, proxy records, news</t>
        </is>
      </c>
      <c r="G21" s="128" t="inlineStr">
        <is>
          <t>Medium</t>
        </is>
      </c>
      <c r="H21" s="125" t="inlineStr">
        <is>
          <t>Current short interest as % of float; activist investor watchlists; proxy vote outcomes</t>
        </is>
      </c>
      <c r="I21" s="37" t="inlineStr">
        <is>
          <t>📦 RDC/GRID: Adverse news monitoring — short-seller reports, activist filings, proxy contests flagged in real-time. 📦 CreditView: Market intelligence and news alerts for rated entities. 📦 EDF-X Early Warning: Rising EDF often precedes activist targeting.</t>
        </is>
      </c>
    </row>
    <row r="22" ht="46" customHeight="1">
      <c r="A22" s="121" t="inlineStr">
        <is>
          <t>Legal &amp; Regulatory</t>
        </is>
      </c>
      <c r="B22" s="122" t="inlineStr">
        <is>
          <t>Prior D&amp;O Claims (5 years)</t>
        </is>
      </c>
      <c r="C22" s="40" t="inlineStr">
        <is>
          <t>Number, severity, nature. Securities class actions, derivative suits, regulatory investigations.</t>
        </is>
      </c>
      <c r="D22" s="40" t="inlineStr">
        <is>
          <t>Multiple prior claims = significant pricing load or declination. Single large = retention increase.</t>
        </is>
      </c>
      <c r="E22" s="126" t="inlineStr">
        <is>
          <t>🚨 Red Flag</t>
        </is>
      </c>
      <c r="F22" s="124" t="inlineStr">
        <is>
          <t>Application, prior insurer loss runs</t>
        </is>
      </c>
      <c r="G22" s="121" t="inlineStr">
        <is>
          <t>High</t>
        </is>
      </c>
      <c r="H22" s="125" t="inlineStr">
        <is>
          <t>Claim resolution timeline; indemnification agreements; defense counsel used</t>
        </is>
      </c>
      <c r="I22" s="37" t="inlineStr">
        <is>
          <t>📦 RDC/GRID: Litigation and enforcement event database — regulatory actions, enforcement orders, court judgments globally. 📦 Orbis: Legal proceedings data where disclosed. 📦 CreditView: Credit events and legal developments for rated entities.</t>
        </is>
      </c>
    </row>
    <row r="23" ht="46" customHeight="1">
      <c r="A23" s="121" t="n"/>
      <c r="B23" s="122" t="inlineStr">
        <is>
          <t>SEC / Regulatory Investigations</t>
        </is>
      </c>
      <c r="C23" s="40" t="inlineStr">
        <is>
          <t>Formal SEC investigation = near-declination. DOJ, CFTC, FINRA, FCA actions. FCPA investigations.</t>
        </is>
      </c>
      <c r="D23" s="40" t="inlineStr">
        <is>
          <t>Active regulatory investigation = declination or exclusion for that specific matter.</t>
        </is>
      </c>
      <c r="E23" s="126" t="inlineStr">
        <is>
          <t>🚨 Red Flag</t>
        </is>
      </c>
      <c r="F23" s="124" t="inlineStr">
        <is>
          <t>SEC EDGAR, news, application</t>
        </is>
      </c>
      <c r="G23" s="121" t="inlineStr">
        <is>
          <t>High</t>
        </is>
      </c>
      <c r="H23" s="125" t="inlineStr">
        <is>
          <t>Investigation outcome history; voluntary disclosure programs; cooperation credit</t>
        </is>
      </c>
      <c r="I23" s="37" t="inlineStr">
        <is>
          <t>📦 RDC/GRID: Regulatory enforcement database — SEC, DOJ, FINRA, FCA, CFTC, global regulators. Daily updates. 📦 Orbis: Corporate legal events. 📦 CreditView: Regulatory risk flags for rated financial institutions.</t>
        </is>
      </c>
    </row>
    <row r="24" ht="46" customHeight="1">
      <c r="A24" s="121" t="n"/>
      <c r="B24" s="122" t="inlineStr">
        <is>
          <t>Financial Restatements</t>
        </is>
      </c>
      <c r="C24" s="40" t="inlineStr">
        <is>
          <t>Any restatement of audited financials in past 5 years. Material vs. immaterial. Cause: fraud vs. error.</t>
        </is>
      </c>
      <c r="D24" s="40" t="inlineStr">
        <is>
          <t>Material restatement due to fraud = declination. Error-based = heavy pricing load + possible exclusion.</t>
        </is>
      </c>
      <c r="E24" s="126" t="inlineStr">
        <is>
          <t>🚨 Red Flag</t>
        </is>
      </c>
      <c r="F24" s="124" t="inlineStr">
        <is>
          <t>SEC 8-K filings, auditor change filings (Exhibit 16)</t>
        </is>
      </c>
      <c r="G24" s="121" t="inlineStr">
        <is>
          <t>High</t>
        </is>
      </c>
      <c r="H24" s="125" t="inlineStr">
        <is>
          <t>Number/magnitude of restatements; auditor changes (Big 4 → small firm = red flag)</t>
        </is>
      </c>
      <c r="I24" s="37" t="inlineStr">
        <is>
          <t>📦 EDF-X: Accounting quality and earnings manipulation scoring built into PD models. 📦 RDC/GRID: Restatement events and auditor enforcement actions. 📦 Orbis: Auditor information and changes tracked.</t>
        </is>
      </c>
    </row>
    <row r="25" ht="46" customHeight="1">
      <c r="A25" s="121" t="n"/>
      <c r="B25" s="122" t="inlineStr">
        <is>
          <t>M&amp;A / Transaction Activity</t>
        </is>
      </c>
      <c r="C25" s="40" t="inlineStr">
        <is>
          <t>Active acquiror or target. Merger objection suits are common. SPAC merger = near-certain securities suit.</t>
        </is>
      </c>
      <c r="D25" s="40" t="inlineStr">
        <is>
          <t>M&amp;A announcement triggers claim watch. SPAC de-SPAC = 3–5x elevated claims frequency.</t>
        </is>
      </c>
      <c r="E25" s="130" t="inlineStr">
        <is>
          <t>⚠️ Review Trigger</t>
        </is>
      </c>
      <c r="F25" s="124" t="inlineStr">
        <is>
          <t>SEC M&amp;A filings, news, press releases</t>
        </is>
      </c>
      <c r="G25" s="121" t="inlineStr">
        <is>
          <t>High</t>
        </is>
      </c>
      <c r="H25" s="125" t="inlineStr">
        <is>
          <t>Acquisition integration track record; goodwill impairment history; deal premium analysis</t>
        </is>
      </c>
      <c r="I25" s="37" t="inlineStr">
        <is>
          <t>📦 Orbis: Full M&amp;A transaction history — deal value, target, acquiror, date, deal type for 625M+ entities. 📦 CreditView: M&amp;A impact analysis for rated entities. 📦 RDC/GRID: Post-deal adverse news monitoring.</t>
        </is>
      </c>
    </row>
    <row r="26" ht="46" customHeight="1">
      <c r="A26" s="128" t="inlineStr">
        <is>
          <t>Operations &amp; Exposure</t>
        </is>
      </c>
      <c r="B26" s="129" t="inlineStr">
        <is>
          <t>Geographic Operations</t>
        </is>
      </c>
      <c r="C26" s="40" t="inlineStr">
        <is>
          <t>Countries with weak rule of law, corruption, political instability. OFAC sanctions. FCPA risk.</t>
        </is>
      </c>
      <c r="D26" s="40" t="inlineStr">
        <is>
          <t>Multi-jurisdictional exposure = significant D&amp;O risk. OFAC = automatic exclusion/declination.</t>
        </is>
      </c>
      <c r="E26" s="127" t="inlineStr">
        <is>
          <t>📋 Coverage Driver</t>
        </is>
      </c>
      <c r="F26" s="124" t="inlineStr">
        <is>
          <t>Annual report, application</t>
        </is>
      </c>
      <c r="G26" s="128" t="inlineStr">
        <is>
          <t>Medium</t>
        </is>
      </c>
      <c r="H26" s="125" t="inlineStr">
        <is>
          <t>Sanctions screening of jurisdictions; Transparency International score; FCPA risk score</t>
        </is>
      </c>
      <c r="I26" s="37" t="inlineStr">
        <is>
          <t>📦 RDC/GRID: Sanctions screening across 200+ jurisdictions — OFAC, EU, UN, UK. Daily updates. 📦 Economy.com: Country risk scores + political stability forecasts. 📦 Orbis: Geographic footprint of all subsidiaries + countries of operation. 📦 Ratings: Sovereign ratings for countries of operation.</t>
        </is>
      </c>
    </row>
    <row r="27" ht="46" customHeight="1">
      <c r="A27" s="128" t="n"/>
      <c r="B27" s="129" t="inlineStr">
        <is>
          <t>Cyber Security Posture</t>
        </is>
      </c>
      <c r="C27" s="40" t="inlineStr">
        <is>
          <t>Data breaches = regulatory action + shareholder suits. CISO in place? Cyber insurance in place?</t>
        </is>
      </c>
      <c r="D27" s="40" t="inlineStr">
        <is>
          <t>Post-breach D&amp;O claims rising sharply. Board-level cyber oversight = positive indicator.</t>
        </is>
      </c>
      <c r="E27" s="130" t="inlineStr">
        <is>
          <t>⚠️ Review Trigger</t>
        </is>
      </c>
      <c r="F27" s="124" t="inlineStr">
        <is>
          <t>Application, SEC cyber disclosures, public breach data</t>
        </is>
      </c>
      <c r="G27" s="128" t="inlineStr">
        <is>
          <t>Medium</t>
        </is>
      </c>
      <c r="H27" s="125" t="inlineStr">
        <is>
          <t>BitSight or similar cyber risk score; breach notification history; CISO tenure</t>
        </is>
      </c>
      <c r="I27" s="37" t="inlineStr">
        <is>
          <t>📦 BitSight: External attack surface score — quantifies cyber risk from outside-in, no company co-operation needed. Identifies companies disproportionately at risk 40%+ more accurately. Privacy risk scoring via LOKKER partnership.</t>
        </is>
      </c>
    </row>
    <row r="28" ht="46" customHeight="1">
      <c r="A28" s="128" t="n"/>
      <c r="B28" s="129" t="inlineStr">
        <is>
          <t>ESG / Climate Commitments</t>
        </is>
      </c>
      <c r="C28" s="40" t="inlineStr">
        <is>
          <t>Greenwashing risk. Net-zero pledges vs. actual progress. Supply chain ESG compliance.</t>
        </is>
      </c>
      <c r="D28" s="40" t="inlineStr">
        <is>
          <t>Unfulfilled ESG pledges = SEC enforcement + shareholder suits. ESG regulation accelerating.</t>
        </is>
      </c>
      <c r="E28" s="130" t="inlineStr">
        <is>
          <t>⚠️ Review Trigger</t>
        </is>
      </c>
      <c r="F28" s="124" t="inlineStr">
        <is>
          <t>ESG reports, SEC climate disclosures, CDP filings</t>
        </is>
      </c>
      <c r="G28" s="128" t="inlineStr">
        <is>
          <t>Medium</t>
        </is>
      </c>
      <c r="H28" s="125" t="inlineStr">
        <is>
          <t>ESG rating vs. peer group; controversy score; carbon commitment gap</t>
        </is>
      </c>
      <c r="I28" s="37" t="inlineStr">
        <is>
          <t>📦 CreditView: ESG scores and controversy analysis for rated entities. 📦 Economy.com: Climate transition risk scenarios. 📦 RMS: Physical climate risk exposure for operations. 📦 Orbis: ESG data integration for 625M+ entities.</t>
        </is>
      </c>
    </row>
    <row r="30" ht="14" customHeight="1">
      <c r="A30" s="131" t="inlineStr">
        <is>
          <t xml:space="preserve">  LEGEND: 🚨 Red Flag = Decline/Referral trigger  |  💰 Pricing Driver = Affects premium  |  ⚠️ Review Trigger = UW judgment needed  |  🟢 Positive = Favorable indicator  |  📋 Coverage Driver = Affects terms/scope  |  Column 9 (RED) = Moody's data mapped to this input</t>
        </is>
      </c>
    </row>
  </sheetData>
  <mergeCells count="18">
    <mergeCell ref="A6"/>
    <mergeCell ref="A2:I2"/>
    <mergeCell ref="F7:I7"/>
    <mergeCell ref="A5:I5"/>
    <mergeCell ref="C7"/>
    <mergeCell ref="A7"/>
    <mergeCell ref="B7"/>
    <mergeCell ref="A1:I1"/>
    <mergeCell ref="B6"/>
    <mergeCell ref="D6"/>
    <mergeCell ref="C6"/>
    <mergeCell ref="D7"/>
    <mergeCell ref="A3:I3"/>
    <mergeCell ref="E6"/>
    <mergeCell ref="E7"/>
    <mergeCell ref="A4:I4"/>
    <mergeCell ref="A30:I30"/>
    <mergeCell ref="F6:I6"/>
  </mergeCells>
  <pageMargins left="0.75" right="0.75" top="1" bottom="1" header="0.5" footer="0.5"/>
</worksheet>
</file>

<file path=xl/worksheets/sheet9.xml><?xml version="1.0" encoding="utf-8"?>
<worksheet xmlns="http://schemas.openxmlformats.org/spreadsheetml/2006/main">
  <sheetPr>
    <tabColor rgb="002D3748"/>
    <outlinePr summaryBelow="1" summaryRight="1"/>
    <pageSetUpPr/>
  </sheetPr>
  <dimension ref="A1:I25"/>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40" customWidth="1" min="3" max="3"/>
    <col width="38" customWidth="1" min="4" max="4"/>
    <col width="16" customWidth="1" min="5" max="5"/>
    <col width="28" customWidth="1" min="6" max="6"/>
    <col width="13" customWidth="1" min="7" max="7"/>
    <col width="36" customWidth="1" min="8" max="8"/>
    <col width="42" customWidth="1" min="9" max="9"/>
  </cols>
  <sheetData>
    <row r="1" ht="30" customHeight="1">
      <c r="A1" s="112" t="inlineStr">
        <is>
          <t xml:space="preserve">  E&amp;O — Errors &amp; Omissions / Professional Liability  |  Underwriting Intelligence Framework</t>
        </is>
      </c>
    </row>
    <row r="2" ht="16" customHeight="1">
      <c r="A2" s="113" t="inlineStr">
        <is>
          <t xml:space="preserve">  Covers professionals against claims of negligent acts, errors, or omissions in delivering professional services.</t>
        </is>
      </c>
    </row>
    <row r="3" ht="16" customHeight="1">
      <c r="A3" s="114" t="inlineStr">
        <is>
          <t xml:space="preserve">  Typical Clients: Tech companies, law firms, accountants, architects, engineers, financial advisers, consultants, healthcare professionals</t>
        </is>
      </c>
    </row>
    <row r="4" ht="4" customHeight="1">
      <c r="A4" s="33" t="n"/>
    </row>
    <row r="5" ht="15" customHeight="1">
      <c r="A5" s="115" t="inlineStr">
        <is>
          <t xml:space="preserve">  UNDERWRITING PROCESS FLOW</t>
        </is>
      </c>
    </row>
    <row r="6" ht="26" customHeight="1">
      <c r="A6" s="116" t="inlineStr">
        <is>
          <t xml:space="preserve">  1. Classify Profession ▶</t>
        </is>
      </c>
      <c r="B6" s="117" t="inlineStr">
        <is>
          <t xml:space="preserve">  2. Operations Review ▶</t>
        </is>
      </c>
      <c r="C6" s="116" t="inlineStr">
        <is>
          <t xml:space="preserve">  3. Financial Review ▶</t>
        </is>
      </c>
      <c r="D6" s="117" t="inlineStr">
        <is>
          <t xml:space="preserve">  4. Claims History ▶</t>
        </is>
      </c>
      <c r="E6" s="116" t="inlineStr">
        <is>
          <t xml:space="preserve">  5. Risk Management ▶</t>
        </is>
      </c>
      <c r="F6" s="117" t="inlineStr">
        <is>
          <t xml:space="preserve">  6. Pricing &amp; Terms</t>
        </is>
      </c>
    </row>
    <row r="7" ht="26" customHeight="1">
      <c r="A7" s="118" t="inlineStr">
        <is>
          <t xml:space="preserve">  Tech, legal, medical, architect, engineer, financial adviser, consultant, accountant</t>
        </is>
      </c>
      <c r="B7" s="118" t="inlineStr">
        <is>
          <t xml:space="preserve">  Services provided, client types, contract terms, subcontractor use, geographic reach</t>
        </is>
      </c>
      <c r="C7" s="118" t="inlineStr">
        <is>
          <t xml:space="preserve">  Revenue, fee income, client concentration, retainer vs. project split</t>
        </is>
      </c>
      <c r="D7" s="118" t="inlineStr">
        <is>
          <t xml:space="preserve">  Prior E&amp;O claims, near-misses, disciplinary actions, licensing board sanctions</t>
        </is>
      </c>
      <c r="E7" s="118" t="inlineStr">
        <is>
          <t xml:space="preserve">  QA/QC processes, peer review, engagement letters, limitation of liability clauses</t>
        </is>
      </c>
      <c r="F7" s="118" t="inlineStr">
        <is>
          <t xml:space="preserve">  Retro date, limits, deductible, claims-made trigger, tail coverage requirement</t>
        </is>
      </c>
    </row>
    <row r="8" ht="5" customHeight="1"/>
    <row r="9" ht="30" customHeight="1">
      <c r="A9" s="119" t="inlineStr">
        <is>
          <t>Category</t>
        </is>
      </c>
      <c r="B9" s="119" t="inlineStr">
        <is>
          <t>Data Point / Input</t>
        </is>
      </c>
      <c r="C9" s="119" t="inlineStr">
        <is>
          <t>What Underwriters Look For</t>
        </is>
      </c>
      <c r="D9" s="119" t="inlineStr">
        <is>
          <t>How It Drives the Decision</t>
        </is>
      </c>
      <c r="E9" s="119" t="inlineStr">
        <is>
          <t>Signal</t>
        </is>
      </c>
      <c r="F9" s="119" t="inlineStr">
        <is>
          <t>Primary Data Source Today</t>
        </is>
      </c>
      <c r="G9" s="119" t="inlineStr">
        <is>
          <t>Importance</t>
        </is>
      </c>
      <c r="H9" s="119" t="inlineStr">
        <is>
          <t>Nice to Have (Current Gap)</t>
        </is>
      </c>
      <c r="I9" s="120" t="inlineStr">
        <is>
          <t>Moody's Data Opportunity</t>
        </is>
      </c>
    </row>
    <row r="10" ht="46" customHeight="1">
      <c r="A10" s="121" t="inlineStr">
        <is>
          <t>Professional Profile</t>
        </is>
      </c>
      <c r="B10" s="122" t="inlineStr">
        <is>
          <t>Profession / Service Type</t>
        </is>
      </c>
      <c r="C10" s="40" t="inlineStr">
        <is>
          <t>Nature of professional services = primary risk driver. Tech E&amp;O ≠ lawyer E&amp;O ≠ architect E&amp;O. Each has distinct claim patterns.</t>
        </is>
      </c>
      <c r="D10" s="40" t="inlineStr">
        <is>
          <t>Profession determines base rate class. Cyber-adjacent tech services attract 3–5x standard tech rates post-2020.</t>
        </is>
      </c>
      <c r="E10" s="123" t="inlineStr">
        <is>
          <t>💰 Pricing Driver</t>
        </is>
      </c>
      <c r="F10" s="124" t="inlineStr">
        <is>
          <t>Application, professional license databases</t>
        </is>
      </c>
      <c r="G10" s="121" t="inlineStr">
        <is>
          <t>High</t>
        </is>
      </c>
      <c r="H10" s="125" t="inlineStr">
        <is>
          <t>Services revenue split by type; % from highest-risk services; AI-generated advice exposure</t>
        </is>
      </c>
      <c r="I10" s="37" t="inlineStr">
        <is>
          <t>📦 Orbis: SIC/NAICS classification + business description for 625M+ entities. 📦 Economy.com: Sector-level stress and demand forecasts for professional services industries.</t>
        </is>
      </c>
    </row>
    <row r="11" ht="46" customHeight="1">
      <c r="A11" s="128" t="n"/>
      <c r="B11" s="129" t="inlineStr">
        <is>
          <t>Years in Practice / Firm Tenure</t>
        </is>
      </c>
      <c r="C11" s="40" t="inlineStr">
        <is>
          <t>Newer firms (&lt;3 years) lack track record. High-growth firms scaling fast = process breakdown risk.</t>
        </is>
      </c>
      <c r="D11" s="40" t="inlineStr">
        <is>
          <t>&lt;2 years in operation → may decline or require higher retention. Rapid staff growth = QC concern.</t>
        </is>
      </c>
      <c r="E11" s="130" t="inlineStr">
        <is>
          <t>⚠️ Review Trigger</t>
        </is>
      </c>
      <c r="F11" s="124" t="inlineStr">
        <is>
          <t>Application, licensing records, company filings</t>
        </is>
      </c>
      <c r="G11" s="128" t="inlineStr">
        <is>
          <t>Medium</t>
        </is>
      </c>
      <c r="H11" s="125" t="inlineStr">
        <is>
          <t>Headcount growth rate vs. revenue growth; staff turnover rate; key person dependency</t>
        </is>
      </c>
      <c r="I11" s="37" t="inlineStr">
        <is>
          <t>📦 Orbis: Company incorporation date + firmographic history + headcount data. 📦 EDF-X: Private company financial stability score — new firms with weak financials flagged.</t>
        </is>
      </c>
    </row>
    <row r="12" ht="46" customHeight="1">
      <c r="A12" s="121" t="n"/>
      <c r="B12" s="122" t="inlineStr">
        <is>
          <t>Professional Licenses &amp; Disciplinary History</t>
        </is>
      </c>
      <c r="C12" s="40" t="inlineStr">
        <is>
          <t>License suspensions, bar complaints, medical board actions, SEC/FINRA bars, CPA board sanctions.</t>
        </is>
      </c>
      <c r="D12" s="40" t="inlineStr">
        <is>
          <t>Active disciplinary proceeding = declination. Past sanctions = significant pricing load + exclusion.</t>
        </is>
      </c>
      <c r="E12" s="126" t="inlineStr">
        <is>
          <t>🚨 Red Flag</t>
        </is>
      </c>
      <c r="F12" s="124" t="inlineStr">
        <is>
          <t>State licensing boards, FINRA BrokerCheck, SEC Action Lookup</t>
        </is>
      </c>
      <c r="G12" s="121" t="inlineStr">
        <is>
          <t>High</t>
        </is>
      </c>
      <c r="H12" s="125" t="inlineStr">
        <is>
          <t>Disciplinary action frequency vs. peer firms; recurrence patterns; self-reporting history</t>
        </is>
      </c>
      <c r="I12" s="37" t="inlineStr">
        <is>
          <t>📦 RDC/GRID: Regulatory enforcement database — FINRA, SEC, FCA, state bar, medical board actions globally. 📦 Orbis: Regulatory status and licensing data where available.</t>
        </is>
      </c>
    </row>
    <row r="13" ht="46" customHeight="1">
      <c r="A13" s="121" t="inlineStr">
        <is>
          <t>Client &amp; Revenue Risk</t>
        </is>
      </c>
      <c r="B13" s="122" t="inlineStr">
        <is>
          <t>Client Concentration</t>
        </is>
      </c>
      <c r="C13" s="40" t="inlineStr">
        <is>
          <t>Single client &gt;25% of revenue = catastrophic loss scenario. Loss from one client = policy exhaustion risk.</t>
        </is>
      </c>
      <c r="D13" s="40" t="inlineStr">
        <is>
          <t>High concentration = correlated exposure. Demands higher retention or sub-limits.</t>
        </is>
      </c>
      <c r="E13" s="130" t="inlineStr">
        <is>
          <t>⚠️ Review Trigger</t>
        </is>
      </c>
      <c r="F13" s="124" t="inlineStr">
        <is>
          <t>Application, financial statements</t>
        </is>
      </c>
      <c r="G13" s="121" t="inlineStr">
        <is>
          <t>High</t>
        </is>
      </c>
      <c r="H13" s="125" t="inlineStr">
        <is>
          <t>Client revenue diversification index; client industry spread; top-3 client revenue %</t>
        </is>
      </c>
      <c r="I13" s="37" t="inlineStr">
        <is>
          <t>📦 Orbis: Client/counterparty data and corporate relationships. 📦 Cortera: Client payment behavior — is the insured's largest client also paying them reliably?</t>
        </is>
      </c>
    </row>
    <row r="14" ht="46" customHeight="1">
      <c r="A14" s="121" t="n"/>
      <c r="B14" s="122" t="inlineStr">
        <is>
          <t>Client Types (Sophistication)</t>
        </is>
      </c>
      <c r="C14" s="40" t="inlineStr">
        <is>
          <t>Sophisticated commercial vs. retail/consumer clients. Retail = higher claim frequency. Government = compliance risk.</t>
        </is>
      </c>
      <c r="D14" s="40" t="inlineStr">
        <is>
          <t>Retail/consumer base = 2–3x claim frequency vs. commercial-only. Government contract = unique risk.</t>
        </is>
      </c>
      <c r="E14" s="123" t="inlineStr">
        <is>
          <t>💰 Pricing Driver</t>
        </is>
      </c>
      <c r="F14" s="124" t="inlineStr">
        <is>
          <t>Application, client list review</t>
        </is>
      </c>
      <c r="G14" s="121" t="inlineStr">
        <is>
          <t>High</t>
        </is>
      </c>
      <c r="H14" s="125" t="inlineStr">
        <is>
          <t>Client size distribution; % government vs. commercial vs. consumer; international client %</t>
        </is>
      </c>
      <c r="I14" s="37" t="inlineStr">
        <is>
          <t>📦 Orbis: Client entity data and classification. 📦 Economy.com: Sector-level client financial health forecasts.</t>
        </is>
      </c>
    </row>
    <row r="15" ht="46" customHeight="1">
      <c r="A15" s="121" t="n"/>
      <c r="B15" s="122" t="inlineStr">
        <is>
          <t>Contract Terms &amp; Risk Transfer</t>
        </is>
      </c>
      <c r="C15" s="40" t="inlineStr">
        <is>
          <t>Engagement letters in place? Limitation of liability clauses? IP indemnification? Subcontractor flow-down?</t>
        </is>
      </c>
      <c r="D15" s="40" t="inlineStr">
        <is>
          <t>Absence of engagement letters = major red flag. LOL clauses reduce severity exposure significantly.</t>
        </is>
      </c>
      <c r="E15" s="126" t="inlineStr">
        <is>
          <t>🚨 Red Flag</t>
        </is>
      </c>
      <c r="F15" s="124" t="inlineStr">
        <is>
          <t>Sample contracts, application attestations</t>
        </is>
      </c>
      <c r="G15" s="121" t="inlineStr">
        <is>
          <t>High</t>
        </is>
      </c>
      <c r="H15" s="125" t="inlineStr">
        <is>
          <t>Standard contract template quality; % of engagements with signed engagement letters</t>
        </is>
      </c>
      <c r="I15" s="37" t="inlineStr">
        <is>
          <t>📦 [AI Opportunity] Orbis + contract analytics: Moody's entity data could power AI contract review tools to flag missing LOL clauses or unfavorable indemnity language.</t>
        </is>
      </c>
    </row>
    <row r="16" ht="46" customHeight="1">
      <c r="A16" s="128" t="inlineStr">
        <is>
          <t>Financial Metrics</t>
        </is>
      </c>
      <c r="B16" s="129" t="inlineStr">
        <is>
          <t>Revenue &amp; Fee Income Trend</t>
        </is>
      </c>
      <c r="C16" s="40" t="inlineStr">
        <is>
          <t>Declining revenue = client losses from poor performance. Rapid growth = overextension risk.</t>
        </is>
      </c>
      <c r="D16" s="40" t="inlineStr">
        <is>
          <t>Revenue decline &gt;20% YoY = performance concern. Rapid growth = capacity/quality risk.</t>
        </is>
      </c>
      <c r="E16" s="130" t="inlineStr">
        <is>
          <t>⚠️ Review Trigger</t>
        </is>
      </c>
      <c r="F16" s="124" t="inlineStr">
        <is>
          <t>Financial statements, application</t>
        </is>
      </c>
      <c r="G16" s="128" t="inlineStr">
        <is>
          <t>Medium</t>
        </is>
      </c>
      <c r="H16" s="125" t="inlineStr">
        <is>
          <t>Revenue quality (retainer vs. project); accounts receivable aging; fee realization rate</t>
        </is>
      </c>
      <c r="I16" s="37" t="inlineStr">
        <is>
          <t>📦 Orbis: Multi-year financial statements + revenue trends. 📦 EDF-X: Revenue sustainability + private company financial health. 📦 Cortera: Accounts receivable / payment behavior signals for professional firms.</t>
        </is>
      </c>
    </row>
    <row r="17" ht="46" customHeight="1">
      <c r="A17" s="128" t="n"/>
      <c r="B17" s="129" t="inlineStr">
        <is>
          <t>Leverage / Financial Stability</t>
        </is>
      </c>
      <c r="C17" s="40" t="inlineStr">
        <is>
          <t>Financially distressed professional firm = increased claims risk from cutting corners or desperate client behavior.</t>
        </is>
      </c>
      <c r="D17" s="40" t="inlineStr">
        <is>
          <t>High leverage in professional firm = distress-driven conduct risk.</t>
        </is>
      </c>
      <c r="E17" s="123" t="inlineStr">
        <is>
          <t>💰 Pricing Driver</t>
        </is>
      </c>
      <c r="F17" s="124" t="inlineStr">
        <is>
          <t>Financial statements, credit reports</t>
        </is>
      </c>
      <c r="G17" s="128" t="inlineStr">
        <is>
          <t>Medium</t>
        </is>
      </c>
      <c r="H17" s="125" t="inlineStr">
        <is>
          <t>Working capital ratio; debt service coverage; personal guarantees outstanding</t>
        </is>
      </c>
      <c r="I17" s="37" t="inlineStr">
        <is>
          <t>📦 EDF-X: Private company PD model — professional firms are typically private. 📦 Orbis: Balance sheet and debt structure. 📦 Cortera: Credit risk scores + trade payment behavior for smaller professional firms.</t>
        </is>
      </c>
    </row>
    <row r="18" ht="46" customHeight="1">
      <c r="A18" s="121" t="inlineStr">
        <is>
          <t>Claims &amp; Risk Quality</t>
        </is>
      </c>
      <c r="B18" s="122" t="inlineStr">
        <is>
          <t>Prior E&amp;O Claims (5 years)</t>
        </is>
      </c>
      <c r="C18" s="40" t="inlineStr">
        <is>
          <t>Frequency and severity. Nature (negligence vs. fraud). Resolution (paid vs. dismissed).</t>
        </is>
      </c>
      <c r="D18" s="40" t="inlineStr">
        <is>
          <t>3+ claims in 5 years = significant pricing load. Any fraud-related claim = declination/exclusion.</t>
        </is>
      </c>
      <c r="E18" s="126" t="inlineStr">
        <is>
          <t>🚨 Red Flag</t>
        </is>
      </c>
      <c r="F18" s="124" t="inlineStr">
        <is>
          <t>Application, prior insurer loss runs</t>
        </is>
      </c>
      <c r="G18" s="121" t="inlineStr">
        <is>
          <t>High</t>
        </is>
      </c>
      <c r="H18" s="125" t="inlineStr">
        <is>
          <t>Claim-to-revenue ratio vs. industry benchmarks; claim resolution speed</t>
        </is>
      </c>
      <c r="I18" s="37" t="inlineStr">
        <is>
          <t>📦 RDC/GRID: Legal proceedings and enforcement actions database. 📦 Praedicat: Industry-level E&amp;O claim frequency modeling for professional liability sectors.</t>
        </is>
      </c>
    </row>
    <row r="19" ht="46" customHeight="1">
      <c r="A19" s="121" t="n"/>
      <c r="B19" s="122" t="inlineStr">
        <is>
          <t>Quality Control / Peer Review Process</t>
        </is>
      </c>
      <c r="C19" s="40" t="inlineStr">
        <is>
          <t>QA/QC framework documented? Independent peer review for high-stakes work?</t>
        </is>
      </c>
      <c r="D19" s="40" t="inlineStr">
        <is>
          <t>Strong QA = 15–30% pricing credit. No QA in high-complexity practice = risk load.</t>
        </is>
      </c>
      <c r="E19" s="132" t="inlineStr">
        <is>
          <t>🟢 Positive</t>
        </is>
      </c>
      <c r="F19" s="124" t="inlineStr">
        <is>
          <t>Application, quality certifications (ISO, etc.)</t>
        </is>
      </c>
      <c r="G19" s="121" t="inlineStr">
        <is>
          <t>High</t>
        </is>
      </c>
      <c r="H19" s="125" t="inlineStr">
        <is>
          <t>Quality certification status; client satisfaction metrics; third-party audit results</t>
        </is>
      </c>
      <c r="I19" s="37" t="inlineStr">
        <is>
          <t>📦 [Process data] Orbis: ISO certification status for entities where available. No direct Moody's product — opportunity for enrichment.</t>
        </is>
      </c>
    </row>
    <row r="20" ht="46" customHeight="1">
      <c r="A20" s="128" t="n"/>
      <c r="B20" s="129" t="inlineStr">
        <is>
          <t>Subcontractor / Third Party Use</t>
        </is>
      </c>
      <c r="C20" s="40" t="inlineStr">
        <is>
          <t>Heavy reliance on uninsured subcontractors = contingent liability exposure.</t>
        </is>
      </c>
      <c r="D20" s="40" t="inlineStr">
        <is>
          <t>Uninsured subcontractor work = direct E&amp;O exposure with no backstop.</t>
        </is>
      </c>
      <c r="E20" s="130" t="inlineStr">
        <is>
          <t>⚠️ Review Trigger</t>
        </is>
      </c>
      <c r="F20" s="124" t="inlineStr">
        <is>
          <t>Application, subcontractor COI review</t>
        </is>
      </c>
      <c r="G20" s="128" t="inlineStr">
        <is>
          <t>Medium</t>
        </is>
      </c>
      <c r="H20" s="125" t="inlineStr">
        <is>
          <t>Subcontractor screening process; % revenue subcontracted; subcontractor insurance verification</t>
        </is>
      </c>
      <c r="I20" s="37" t="inlineStr">
        <is>
          <t>📦 Orbis: Corporate hierarchy + subsidiary/affiliate structure. 📦 Cortera: Subcontractor financial health + payment behavior. 📦 RDC/GRID: Subcontractor sanctions/adverse news screening.</t>
        </is>
      </c>
    </row>
    <row r="21" ht="46" customHeight="1">
      <c r="A21" s="121" t="inlineStr">
        <is>
          <t>Technology &amp; Data</t>
        </is>
      </c>
      <c r="B21" s="122" t="inlineStr">
        <is>
          <t>Data Handling &amp; Cyber Exposure</t>
        </is>
      </c>
      <c r="C21" s="40" t="inlineStr">
        <is>
          <t>Does the firm hold client data? Data breach = both cyber and E&amp;O trigger simultaneously.</t>
        </is>
      </c>
      <c r="D21" s="40" t="inlineStr">
        <is>
          <t>Tech E&amp;O and cyber E&amp;O converging. Data exposure = compounded liability.</t>
        </is>
      </c>
      <c r="E21" s="130" t="inlineStr">
        <is>
          <t>⚠️ Review Trigger</t>
        </is>
      </c>
      <c r="F21" s="124" t="inlineStr">
        <is>
          <t>Application, cyber posture assessment</t>
        </is>
      </c>
      <c r="G21" s="121" t="inlineStr">
        <is>
          <t>High</t>
        </is>
      </c>
      <c r="H21" s="125" t="inlineStr">
        <is>
          <t>Cyber risk score; data classification policies; encryption standards; breach history</t>
        </is>
      </c>
      <c r="I21" s="37" t="inlineStr">
        <is>
          <t>📦 BitSight: External attack surface and cyber risk score — no company cooperation needed. Identifies law firms, accountancies, tech cos with elevated breach risk. Privacy risk scoring (LOKKER integration).</t>
        </is>
      </c>
    </row>
    <row r="22" ht="46" customHeight="1">
      <c r="A22" s="128" t="n"/>
      <c r="B22" s="129" t="inlineStr">
        <is>
          <t>AI / Automated Decision-Making Use</t>
        </is>
      </c>
      <c r="C22" s="40" t="inlineStr">
        <is>
          <t>Firms using AI in client deliverables face novel E&amp;O risk — AI errors attributed to professional negligence.</t>
        </is>
      </c>
      <c r="D22" s="40" t="inlineStr">
        <is>
          <t>AI-generated advice errors = emerging claims vector. Courts increasingly holding professionals liable for AI outputs.</t>
        </is>
      </c>
      <c r="E22" s="130" t="inlineStr">
        <is>
          <t>⚠️ Review Trigger</t>
        </is>
      </c>
      <c r="F22" s="124" t="inlineStr">
        <is>
          <t>Application, technology disclosure</t>
        </is>
      </c>
      <c r="G22" s="128" t="inlineStr">
        <is>
          <t>Medium</t>
        </is>
      </c>
      <c r="H22" s="125" t="inlineStr">
        <is>
          <t>AI tool usage disclosure; human review processes over AI outputs; AI liability framework in place</t>
        </is>
      </c>
      <c r="I22" s="37" t="inlineStr">
        <is>
          <t>📦 RDC/GRID: Adverse news on AI-related professional liability incidents. 📦 Economy.com: Technology sector risk forecasts. 📦 [Gap] No current Moody's product directly scores AI usage risk — significant new data opportunity.</t>
        </is>
      </c>
    </row>
    <row r="23" ht="46" customHeight="1">
      <c r="A23" s="121" t="inlineStr">
        <is>
          <t>Regulatory Environment</t>
        </is>
      </c>
      <c r="B23" s="122" t="inlineStr">
        <is>
          <t>Regulatory Compliance History</t>
        </is>
      </c>
      <c r="C23" s="40" t="inlineStr">
        <is>
          <t>Firms regulated by SEC, FCA, state bars, medical boards, engineering boards.</t>
        </is>
      </c>
      <c r="D23" s="40" t="inlineStr">
        <is>
          <t>Active regulatory enforcement = pricing load or declination.</t>
        </is>
      </c>
      <c r="E23" s="123" t="inlineStr">
        <is>
          <t>💰 Pricing Driver</t>
        </is>
      </c>
      <c r="F23" s="124" t="inlineStr">
        <is>
          <t>Regulatory databases, application</t>
        </is>
      </c>
      <c r="G23" s="121" t="inlineStr">
        <is>
          <t>High</t>
        </is>
      </c>
      <c r="H23" s="125" t="inlineStr">
        <is>
          <t>Regulatory filing timeliness; complaint history; examination findings</t>
        </is>
      </c>
      <c r="I23" s="37" t="inlineStr">
        <is>
          <t>📦 RDC/GRID: Most comprehensive regulatory action database globally — FINRA, SEC, FCA, state regulators, professional boards. 📦 Orbis: Regulatory status + compliance data integration.</t>
        </is>
      </c>
    </row>
    <row r="25" ht="14" customHeight="1">
      <c r="A25" s="131" t="inlineStr">
        <is>
          <t xml:space="preserve">  LEGEND: 🚨 Red Flag = Decline/Referral trigger  |  💰 Pricing Driver = Affects premium  |  ⚠️ Review Trigger = UW judgment needed  |  🟢 Positive = Favorable indicator  |  📋 Coverage Driver = Affects terms/scope  |  Column 9 (RED) = Moody's data mapped to this input</t>
        </is>
      </c>
    </row>
  </sheetData>
  <mergeCells count="18">
    <mergeCell ref="A25:I25"/>
    <mergeCell ref="A6"/>
    <mergeCell ref="A2:I2"/>
    <mergeCell ref="F7:I7"/>
    <mergeCell ref="A5:I5"/>
    <mergeCell ref="C7"/>
    <mergeCell ref="A7"/>
    <mergeCell ref="B7"/>
    <mergeCell ref="A1:I1"/>
    <mergeCell ref="B6"/>
    <mergeCell ref="D6"/>
    <mergeCell ref="C6"/>
    <mergeCell ref="D7"/>
    <mergeCell ref="A3:I3"/>
    <mergeCell ref="E6"/>
    <mergeCell ref="E7"/>
    <mergeCell ref="A4:I4"/>
    <mergeCell ref="F6:I6"/>
  </mergeCells>
  <pageMargins left="0.75" right="0.75" top="1" bottom="1" header="0.5" footer="0.5"/>
</worksheet>
</file>

<file path=xl/worksheets/sheet10.xml><?xml version="1.0" encoding="utf-8"?>
<worksheet xmlns="http://schemas.openxmlformats.org/spreadsheetml/2006/main">
  <sheetPr>
    <tabColor rgb="00276749"/>
    <outlinePr summaryBelow="1" summaryRight="1"/>
    <pageSetUpPr/>
  </sheetPr>
  <dimension ref="A1:I26"/>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40" customWidth="1" min="3" max="3"/>
    <col width="38" customWidth="1" min="4" max="4"/>
    <col width="16" customWidth="1" min="5" max="5"/>
    <col width="28" customWidth="1" min="6" max="6"/>
    <col width="13" customWidth="1" min="7" max="7"/>
    <col width="36" customWidth="1" min="8" max="8"/>
    <col width="42" customWidth="1" min="9" max="9"/>
  </cols>
  <sheetData>
    <row r="1" ht="30" customHeight="1">
      <c r="A1" s="112" t="inlineStr">
        <is>
          <t xml:space="preserve">  Surety — Contract &amp; Commercial Bonds  |  Underwriting Intelligence Framework</t>
        </is>
      </c>
    </row>
    <row r="2" ht="16" customHeight="1">
      <c r="A2" s="113" t="inlineStr">
        <is>
          <t xml:space="preserve">  Guarantees a principal (contractor/licensee) will perform an obligation. Surety is credit, not insurance. No premium for risk — indemnity is the backstop.</t>
        </is>
      </c>
    </row>
    <row r="3" ht="16" customHeight="1">
      <c r="A3" s="114" t="inlineStr">
        <is>
          <t xml:space="preserve">  Typical Clients: General contractors, specialty subcontractors, developers, licensed professionals, court bond principals</t>
        </is>
      </c>
    </row>
    <row r="4" ht="4" customHeight="1">
      <c r="A4" s="33" t="n"/>
    </row>
    <row r="5" ht="15" customHeight="1">
      <c r="A5" s="115" t="inlineStr">
        <is>
          <t xml:space="preserve">  UNDERWRITING PROCESS FLOW</t>
        </is>
      </c>
    </row>
    <row r="6" ht="26" customHeight="1">
      <c r="A6" s="116" t="inlineStr">
        <is>
          <t xml:space="preserve">  1. Pre-Qualification ▶</t>
        </is>
      </c>
      <c r="B6" s="117" t="inlineStr">
        <is>
          <t xml:space="preserve">  2. Financial Underwriting ▶</t>
        </is>
      </c>
      <c r="C6" s="116" t="inlineStr">
        <is>
          <t xml:space="preserve">  3. WIP Analysis ▶</t>
        </is>
      </c>
      <c r="D6" s="117" t="inlineStr">
        <is>
          <t xml:space="preserve">  4. Capacity Assessment ▶</t>
        </is>
      </c>
      <c r="E6" s="116" t="inlineStr">
        <is>
          <t xml:space="preserve">  5. Bond Execution ▶</t>
        </is>
      </c>
      <c r="F6" s="117" t="inlineStr">
        <is>
          <t xml:space="preserve">  6. Ongoing Monitoring</t>
        </is>
      </c>
    </row>
    <row r="7" ht="26" customHeight="1">
      <c r="A7" s="118" t="inlineStr">
        <is>
          <t xml:space="preserve">  Principal's character, capacity, capital — the '3 Cs' + Continuity</t>
        </is>
      </c>
      <c r="B7" s="118" t="inlineStr">
        <is>
          <t xml:space="preserve">  3–5yr audited financials: working capital, net worth, leverage, cash flow</t>
        </is>
      </c>
      <c r="C7" s="118" t="inlineStr">
        <is>
          <t xml:space="preserve">  Work-in-progress schedule, backlog health, project-level profitability, margin fade</t>
        </is>
      </c>
      <c r="D7" s="118" t="inlineStr">
        <is>
          <t xml:space="preserve">  Single job limit, aggregate program limit, bonding capacity ratio to net worth</t>
        </is>
      </c>
      <c r="E7" s="118" t="inlineStr">
        <is>
          <t xml:space="preserve">  Obligee requirements, contract review, bond form approval, indemnity agreement</t>
        </is>
      </c>
      <c r="F7" s="118" t="inlineStr">
        <is>
          <t xml:space="preserve">  Annual financial updates, WIP reviews, banking relationship health, lien searches</t>
        </is>
      </c>
    </row>
    <row r="8" ht="5" customHeight="1"/>
    <row r="9" ht="30" customHeight="1">
      <c r="A9" s="119" t="inlineStr">
        <is>
          <t>Category</t>
        </is>
      </c>
      <c r="B9" s="119" t="inlineStr">
        <is>
          <t>Data Point / Input</t>
        </is>
      </c>
      <c r="C9" s="119" t="inlineStr">
        <is>
          <t>What Underwriters Look For</t>
        </is>
      </c>
      <c r="D9" s="119" t="inlineStr">
        <is>
          <t>How It Drives the Decision</t>
        </is>
      </c>
      <c r="E9" s="119" t="inlineStr">
        <is>
          <t>Signal</t>
        </is>
      </c>
      <c r="F9" s="119" t="inlineStr">
        <is>
          <t>Primary Data Source Today</t>
        </is>
      </c>
      <c r="G9" s="119" t="inlineStr">
        <is>
          <t>Importance</t>
        </is>
      </c>
      <c r="H9" s="119" t="inlineStr">
        <is>
          <t>Nice to Have (Current Gap)</t>
        </is>
      </c>
      <c r="I9" s="120" t="inlineStr">
        <is>
          <t>Moody's Data Opportunity</t>
        </is>
      </c>
    </row>
    <row r="10" ht="46" customHeight="1">
      <c r="A10" s="121" t="inlineStr">
        <is>
          <t>Character</t>
        </is>
      </c>
      <c r="B10" s="122" t="inlineStr">
        <is>
          <t>Principal's Reputation &amp; Track Record</t>
        </is>
      </c>
      <c r="C10" s="40" t="inlineStr">
        <is>
          <t>Years in business, completed projects without defaults, obligee relationships, trade references. Character is the #1 surety factor.</t>
        </is>
      </c>
      <c r="D10" s="40" t="inlineStr">
        <is>
          <t>Character &gt; balance sheet for surety. 20 years of clean performance outweighs a strong balance sheet alone.</t>
        </is>
      </c>
      <c r="E10" s="132" t="inlineStr">
        <is>
          <t>🟢 Positive</t>
        </is>
      </c>
      <c r="F10" s="124" t="inlineStr">
        <is>
          <t>Trade references, obligee history, industry references</t>
        </is>
      </c>
      <c r="G10" s="121" t="inlineStr">
        <is>
          <t>High</t>
        </is>
      </c>
      <c r="H10" s="125" t="inlineStr">
        <is>
          <t>Industry reputation scores; ENR rankings; contractor rating systems</t>
        </is>
      </c>
      <c r="I10" s="37" t="inlineStr">
        <is>
          <t>📦 Orbis: Firmographic history — years in business, incorporation date, ownership continuity. 📦 Cortera: Trade payment track record — how the contractor pays subcontractors and suppliers. 📦 RDC/GRID: Adverse news monitoring — any disputes, defaults, or litigation events.</t>
        </is>
      </c>
    </row>
    <row r="11" ht="46" customHeight="1">
      <c r="A11" s="121" t="n"/>
      <c r="B11" s="122" t="inlineStr">
        <is>
          <t>Management Experience &amp; Depth</t>
        </is>
      </c>
      <c r="C11" s="40" t="inlineStr">
        <is>
          <t>Owner experience in specific work types. Second-tier management depth — what happens if owner is incapacitated?</t>
        </is>
      </c>
      <c r="D11" s="40" t="inlineStr">
        <is>
          <t>Single-owner dependence = key person risk. Management depth = surety confidence.</t>
        </is>
      </c>
      <c r="E11" s="130" t="inlineStr">
        <is>
          <t>⚠️ Review Trigger</t>
        </is>
      </c>
      <c r="F11" s="124" t="inlineStr">
        <is>
          <t>Resumes, org chart, succession plan</t>
        </is>
      </c>
      <c r="G11" s="121" t="inlineStr">
        <is>
          <t>High</t>
        </is>
      </c>
      <c r="H11" s="125" t="inlineStr">
        <is>
          <t>Management tenure; second-tier bench strength; key person life insurance in place</t>
        </is>
      </c>
      <c r="I11" s="37" t="inlineStr">
        <is>
          <t>📦 D&amp;O Data: Executive profiles, tenure, background data for principals. 📦 Orbis: Ownership structure + management team identification. 📦 RDC/GRID: Background screening on principals — adverse news, sanctions, PEP checks.</t>
        </is>
      </c>
    </row>
    <row r="12" ht="46" customHeight="1">
      <c r="A12" s="121" t="n"/>
      <c r="B12" s="122" t="inlineStr">
        <is>
          <t>Legal / Judgment / Lien History</t>
        </is>
      </c>
      <c r="C12" s="40" t="inlineStr">
        <is>
          <t>Outstanding judgments, mechanic's liens, legal disputes with owners or subs. Prior bond defaults or claims.</t>
        </is>
      </c>
      <c r="D12" s="40" t="inlineStr">
        <is>
          <t>Any prior bond claim = high scrutiny. Outstanding judgment = red flag. Lien history = payment practices issue.</t>
        </is>
      </c>
      <c r="E12" s="126" t="inlineStr">
        <is>
          <t>🚨 Red Flag</t>
        </is>
      </c>
      <c r="F12" s="124" t="inlineStr">
        <is>
          <t>Court records, lien searches, application</t>
        </is>
      </c>
      <c r="G12" s="121" t="inlineStr">
        <is>
          <t>High</t>
        </is>
      </c>
      <c r="H12" s="125" t="inlineStr">
        <is>
          <t>UCC filing history; judgment searches on all principals; litigation monitoring</t>
        </is>
      </c>
      <c r="I12" s="37" t="inlineStr">
        <is>
          <t>📦 Cortera: Tax liens, civil judgments, UCC filings — most comprehensive source for SME public records. 📦 RDC/GRID: Legal proceedings and enforcement actions globally. 📦 Orbis: Corporate legal events disclosed in filings.</t>
        </is>
      </c>
    </row>
    <row r="13" ht="46" customHeight="1">
      <c r="A13" s="121" t="inlineStr">
        <is>
          <t>Capital</t>
        </is>
      </c>
      <c r="B13" s="122" t="inlineStr">
        <is>
          <t>Working Capital (Current Ratio)</t>
        </is>
      </c>
      <c r="C13" s="40" t="inlineStr">
        <is>
          <t>Current assets minus current liabilities. Rule of thumb: working capital = 10% of bonding program. Quick ratio &gt;1.0.</t>
        </is>
      </c>
      <c r="D13" s="40" t="inlineStr">
        <is>
          <t>Insufficient working capital = inability to fund project cash flow gaps. Primary financial predictor of default.</t>
        </is>
      </c>
      <c r="E13" s="126" t="inlineStr">
        <is>
          <t>🚨 Red Flag</t>
        </is>
      </c>
      <c r="F13" s="124" t="inlineStr">
        <is>
          <t>Audited financial statements (CPA-prepared)</t>
        </is>
      </c>
      <c r="G13" s="121" t="inlineStr">
        <is>
          <t>High</t>
        </is>
      </c>
      <c r="H13" s="125" t="inlineStr">
        <is>
          <t>Working capital trend over 3 years; seasonality; undrawn credit line availability</t>
        </is>
      </c>
      <c r="I13" s="37" t="inlineStr">
        <is>
          <t>📦 EDF-X: Private company financial model — working capital is a key input. 📦 Orbis: Multi-year balance sheet for standardized working capital analysis. 📦 Cortera: Credit risk score that incorporates liquidity signals from payment behavior.</t>
        </is>
      </c>
    </row>
    <row r="14" ht="46" customHeight="1">
      <c r="A14" s="121" t="n"/>
      <c r="B14" s="122" t="inlineStr">
        <is>
          <t>Net Worth / Equity</t>
        </is>
      </c>
      <c r="C14" s="40" t="inlineStr">
        <is>
          <t>Tangible net worth (excl. goodwill/intangibles). Typical program = 10–20x net worth. Growth in net worth YoY.</t>
        </is>
      </c>
      <c r="D14" s="40" t="inlineStr">
        <is>
          <t>Net worth = loss absorption capacity. Declining net worth YoY = distress. Growth = confidence.</t>
        </is>
      </c>
      <c r="E14" s="123" t="inlineStr">
        <is>
          <t>💰 Pricing Driver</t>
        </is>
      </c>
      <c r="F14" s="124" t="inlineStr">
        <is>
          <t>Audited financial statements</t>
        </is>
      </c>
      <c r="G14" s="121" t="inlineStr">
        <is>
          <t>High</t>
        </is>
      </c>
      <c r="H14" s="125" t="inlineStr">
        <is>
          <t>Net worth quality (tangible vs. intangible split); retained earnings vs. owner distributions</t>
        </is>
      </c>
      <c r="I14" s="37" t="inlineStr">
        <is>
          <t>📦 EDF-X: Tangible net worth as % of assets — modeled in private company PD. 📦 Orbis: Equity and retained earnings from standardized financials. 📦 Cortera: Credit risk score as proxy for financial health for SME contractors.</t>
        </is>
      </c>
    </row>
    <row r="15" ht="46" customHeight="1">
      <c r="A15" s="121" t="n"/>
      <c r="B15" s="122" t="inlineStr">
        <is>
          <t>Leverage &amp; Debt Structure</t>
        </is>
      </c>
      <c r="C15" s="40" t="inlineStr">
        <is>
          <t>Debt-to-equity ratio. Long-term vs. short-term debt mix. Equipment financing vs. working capital lines. Personal debt of principals.</t>
        </is>
      </c>
      <c r="D15" s="40" t="inlineStr">
        <is>
          <t>High leverage = financial fragility. ST debt funding LT assets = liquidity mismatch.</t>
        </is>
      </c>
      <c r="E15" s="126" t="inlineStr">
        <is>
          <t>🚨 Red Flag</t>
        </is>
      </c>
      <c r="F15" s="124" t="inlineStr">
        <is>
          <t>Financial statements, personal financial statements</t>
        </is>
      </c>
      <c r="G15" s="121" t="inlineStr">
        <is>
          <t>High</t>
        </is>
      </c>
      <c r="H15" s="125" t="inlineStr">
        <is>
          <t>Debt maturity profile; covenant compliance; refinancing risk timing</t>
        </is>
      </c>
      <c r="I15" s="37" t="inlineStr">
        <is>
          <t>📦 EDF-X: Leverage ratio in private company PD model. 📦 Orbis: Debt structure from financial statements. 📦 Cortera: Cortera CPR score captures leverage signals from payment behavior and credit utilization. 📦 Ratings: Any rated entity — leverage trend in credit profile.</t>
        </is>
      </c>
    </row>
    <row r="16" ht="46" customHeight="1">
      <c r="A16" s="121" t="inlineStr">
        <is>
          <t>Capacity</t>
        </is>
      </c>
      <c r="B16" s="122" t="inlineStr">
        <is>
          <t>Backlog Analysis</t>
        </is>
      </c>
      <c r="C16" s="40" t="inlineStr">
        <is>
          <t>Total value of uncompleted work. Gross profit embedded in backlog. Concentration in any single project or owner.</t>
        </is>
      </c>
      <c r="D16" s="40" t="inlineStr">
        <is>
          <t>Backlog too large vs. working capital = overextension. Negative GP in backlog = recipe for default.</t>
        </is>
      </c>
      <c r="E16" s="126" t="inlineStr">
        <is>
          <t>🚨 Red Flag</t>
        </is>
      </c>
      <c r="F16" s="124" t="inlineStr">
        <is>
          <t>WIP schedule (accountant-prepared)</t>
        </is>
      </c>
      <c r="G16" s="121" t="inlineStr">
        <is>
          <t>High</t>
        </is>
      </c>
      <c r="H16" s="125" t="inlineStr">
        <is>
          <t>Backlog-to-working-capital ratio; historical backlog completion accuracy; margin erosion trends</t>
        </is>
      </c>
      <c r="I16" s="37" t="inlineStr">
        <is>
          <t>📦 [Project-level data gap] Economy.com: Construction sector economic forecasts — macro context for backlog viability. 📦 Cortera: Payment velocity changes that may signal backlog stress emerging.</t>
        </is>
      </c>
    </row>
    <row r="17" ht="46" customHeight="1">
      <c r="A17" s="121" t="n"/>
      <c r="B17" s="122" t="inlineStr">
        <is>
          <t>Work-in-Progress (WIP) Schedule</t>
        </is>
      </c>
      <c r="C17" s="40" t="inlineStr">
        <is>
          <t>Over/under billing analysis. Estimated cost to complete vs. original estimate. Margin fade analysis.</t>
        </is>
      </c>
      <c r="D17" s="40" t="inlineStr">
        <is>
          <t>Overbilling = cash flow manipulation risk. Underbilling = delayed payment risk. Margin fade = default predictor.</t>
        </is>
      </c>
      <c r="E17" s="126" t="inlineStr">
        <is>
          <t>🚨 Red Flag</t>
        </is>
      </c>
      <c r="F17" s="124" t="inlineStr">
        <is>
          <t>CPA-prepared WIP schedule, quarterly updates</t>
        </is>
      </c>
      <c r="G17" s="121" t="inlineStr">
        <is>
          <t>High</t>
        </is>
      </c>
      <c r="H17" s="125" t="inlineStr">
        <is>
          <t>WIP margin fade rate; schedule adherence on active projects; sub payment velocity</t>
        </is>
      </c>
      <c r="I17" s="37" t="inlineStr">
        <is>
          <t>📦 [Project-level data] Cortera: Real-time payment behavior monitoring — if contractor starts paying subs slower, Cortera captures it before the WIP shows it.</t>
        </is>
      </c>
    </row>
    <row r="18" ht="46" customHeight="1">
      <c r="A18" s="121" t="n"/>
      <c r="B18" s="122" t="inlineStr">
        <is>
          <t>Largest Single Job Exposure</t>
        </is>
      </c>
      <c r="C18" s="40" t="inlineStr">
        <is>
          <t>Single project value as % of annual revenue and net worth. Projects &gt;25% of net worth = concentration risk.</t>
        </is>
      </c>
      <c r="D18" s="40" t="inlineStr">
        <is>
          <t>Single project &gt;25% net worth = significant capacity concern.</t>
        </is>
      </c>
      <c r="E18" s="130" t="inlineStr">
        <is>
          <t>⚠️ Review Trigger</t>
        </is>
      </c>
      <c r="F18" s="124" t="inlineStr">
        <is>
          <t>Contract schedule, WIP</t>
        </is>
      </c>
      <c r="G18" s="121" t="inlineStr">
        <is>
          <t>High</t>
        </is>
      </c>
      <c r="H18" s="125" t="inlineStr">
        <is>
          <t>Project type complexity score; bonded vs. unbonded work ratio</t>
        </is>
      </c>
      <c r="I18" s="37" t="inlineStr">
        <is>
          <t>📦 Economy.com: Construction sector project type performance data. 📦 CRE Data: For real estate construction projects — property market health where the project is located.</t>
        </is>
      </c>
    </row>
    <row r="19" ht="46" customHeight="1">
      <c r="A19" s="121" t="inlineStr">
        <is>
          <t>Continuity</t>
        </is>
      </c>
      <c r="B19" s="122" t="inlineStr">
        <is>
          <t>Succession / Continuity Planning</t>
        </is>
      </c>
      <c r="C19" s="40" t="inlineStr">
        <is>
          <t>Documented succession plan. Buy-sell agreements funded. Life/disability insurance on key persons.</t>
        </is>
      </c>
      <c r="D19" s="40" t="inlineStr">
        <is>
          <t>Surety inherits principal's obligations. Continuity plan = protection against key person loss mid-project.</t>
        </is>
      </c>
      <c r="E19" s="130" t="inlineStr">
        <is>
          <t>⚠️ Review Trigger</t>
        </is>
      </c>
      <c r="F19" s="124" t="inlineStr">
        <is>
          <t>Application, buy-sell agreement review</t>
        </is>
      </c>
      <c r="G19" s="121" t="inlineStr">
        <is>
          <t>High</t>
        </is>
      </c>
      <c r="H19" s="125" t="inlineStr">
        <is>
          <t>Key person insurance coverage vs. open bonded exposure</t>
        </is>
      </c>
      <c r="I19" s="37" t="inlineStr">
        <is>
          <t>📦 D&amp;O Data: Key executive identification and contact information. 📦 Orbis: Ownership and shareholder structure — identifies if there's a clear successor in the ownership chain.</t>
        </is>
      </c>
    </row>
    <row r="20" ht="46" customHeight="1">
      <c r="A20" s="121" t="inlineStr">
        <is>
          <t>Banking &amp; Liquidity</t>
        </is>
      </c>
      <c r="B20" s="122" t="inlineStr">
        <is>
          <t>Bank Line of Credit</t>
        </is>
      </c>
      <c r="C20" s="40" t="inlineStr">
        <is>
          <t>Availability and amount of revolving credit line. Bank pulling credit = leading indicator of distress.</t>
        </is>
      </c>
      <c r="D20" s="40" t="inlineStr">
        <is>
          <t>Bank pulling credit = strong leading indicator of distress before financials show it.</t>
        </is>
      </c>
      <c r="E20" s="132" t="inlineStr">
        <is>
          <t>🟢 Positive</t>
        </is>
      </c>
      <c r="F20" s="124" t="inlineStr">
        <is>
          <t>Bank reference letter, credit facility docs</t>
        </is>
      </c>
      <c r="G20" s="121" t="inlineStr">
        <is>
          <t>High</t>
        </is>
      </c>
      <c r="H20" s="125" t="inlineStr">
        <is>
          <t>Bank line usage rate over 12 months; bank's internal risk rating on contractor</t>
        </is>
      </c>
      <c r="I20" s="37" t="inlineStr">
        <is>
          <t>📦 Cortera: Credit line data and utilization — directly models available credit for B2B entities. 📦 EDF-X Early Warning: Flagging credit deterioration signals 3–6 months before formal default.</t>
        </is>
      </c>
    </row>
    <row r="21" ht="46" customHeight="1">
      <c r="A21" s="121" t="n"/>
      <c r="B21" s="122" t="inlineStr">
        <is>
          <t>Cash Flow from Operations</t>
        </is>
      </c>
      <c r="C21" s="40" t="inlineStr">
        <is>
          <t>Operating cash flow trend vs. net income. Cash conversion cycle. Receivables aging.</t>
        </is>
      </c>
      <c r="D21" s="40" t="inlineStr">
        <is>
          <t>Negative operating cash flow despite positive net income = earnings manipulation. Collections issue = cash crisis.</t>
        </is>
      </c>
      <c r="E21" s="126" t="inlineStr">
        <is>
          <t>🚨 Red Flag</t>
        </is>
      </c>
      <c r="F21" s="124" t="inlineStr">
        <is>
          <t>Cash flow statement in audited financials</t>
        </is>
      </c>
      <c r="G21" s="121" t="inlineStr">
        <is>
          <t>High</t>
        </is>
      </c>
      <c r="H21" s="125" t="inlineStr">
        <is>
          <t>DSO trend; AR &gt;90 days as % of total; cash conversion cycle vs. industry</t>
        </is>
      </c>
      <c r="I21" s="37" t="inlineStr">
        <is>
          <t>📦 EDF-X: Cash flow quality metrics in private company model. 📦 Orbis: Cash flow statement from standardized financials. 📦 Cortera: Payment behavior change = real-time proxy for cash flow stress.</t>
        </is>
      </c>
    </row>
    <row r="22" ht="46" customHeight="1">
      <c r="A22" s="128" t="inlineStr">
        <is>
          <t>Project Portfolio</t>
        </is>
      </c>
      <c r="B22" s="129" t="inlineStr">
        <is>
          <t>Work Type &amp; Complexity</t>
        </is>
      </c>
      <c r="C22" s="40" t="inlineStr">
        <is>
          <t>GC vs. specialty trade. Vertical vs. horizontal. Public vs. private work. Technical complexity.</t>
        </is>
      </c>
      <c r="D22" s="40" t="inlineStr">
        <is>
          <t>Specialty/complex work = higher default if firm overextends into unfamiliar territory.</t>
        </is>
      </c>
      <c r="E22" s="123" t="inlineStr">
        <is>
          <t>💰 Pricing Driver</t>
        </is>
      </c>
      <c r="F22" s="124" t="inlineStr">
        <is>
          <t>WIP schedule, contract descriptions</t>
        </is>
      </c>
      <c r="G22" s="128" t="inlineStr">
        <is>
          <t>Medium</t>
        </is>
      </c>
      <c r="H22" s="125" t="inlineStr">
        <is>
          <t>Project type vs. contractor's historical expertise match; complexity scoring</t>
        </is>
      </c>
      <c r="I22" s="37" t="inlineStr">
        <is>
          <t>📦 Economy.com: Construction sector forecasts by project type (residential, commercial, infrastructure). 📦 CRE Data: Real estate market conditions for construction in specific submarkets.</t>
        </is>
      </c>
    </row>
    <row r="23" ht="46" customHeight="1">
      <c r="A23" s="121" t="n"/>
      <c r="B23" s="122" t="inlineStr">
        <is>
          <t>Owner / Obligee Quality</t>
        </is>
      </c>
      <c r="C23" s="40" t="inlineStr">
        <is>
          <t>Who is the project owner? Private developers (higher risk) vs. established public owners. Owner's ability to fund the project.</t>
        </is>
      </c>
      <c r="D23" s="40" t="inlineStr">
        <is>
          <t>Financially weak owner = payment risk even if contractor performs perfectly.</t>
        </is>
      </c>
      <c r="E23" s="130" t="inlineStr">
        <is>
          <t>⚠️ Review Trigger</t>
        </is>
      </c>
      <c r="F23" s="124" t="inlineStr">
        <is>
          <t>Contract documents, owner financial review</t>
        </is>
      </c>
      <c r="G23" s="121" t="inlineStr">
        <is>
          <t>High</t>
        </is>
      </c>
      <c r="H23" s="125" t="inlineStr">
        <is>
          <t>Owner's financial health and credit quality; development track record</t>
        </is>
      </c>
      <c r="I23" s="37" t="inlineStr">
        <is>
          <t>📦 EDF-X: PD score for the project owner/obligee entity. 📦 CreditView: Credit analysis for rated developers/owners. 📦 Orbis: Financial statements and creditworthiness of the obligee. 📦 Ratings: Moody's rating for public-sector obligees.</t>
        </is>
      </c>
    </row>
    <row r="24" ht="46" customHeight="1">
      <c r="A24" s="121" t="inlineStr">
        <is>
          <t>Indemnity &amp; Security</t>
        </is>
      </c>
      <c r="B24" s="122" t="inlineStr">
        <is>
          <t>Personal Indemnity of Principals</t>
        </is>
      </c>
      <c r="C24" s="40" t="inlineStr">
        <is>
          <t>All principals (owners, spouses) providing personal indemnity? Indemnity covers all controlled entities?</t>
        </is>
      </c>
      <c r="D24" s="40" t="inlineStr">
        <is>
          <t>Missing personal indemnity = major deficiency. Full indemnity = surety's primary recourse.</t>
        </is>
      </c>
      <c r="E24" s="126" t="inlineStr">
        <is>
          <t>🚨 Red Flag</t>
        </is>
      </c>
      <c r="F24" s="124" t="inlineStr">
        <is>
          <t>Signed indemnity agreement; personal financial statements</t>
        </is>
      </c>
      <c r="G24" s="121" t="inlineStr">
        <is>
          <t>High</t>
        </is>
      </c>
      <c r="H24" s="125" t="inlineStr">
        <is>
          <t>Personal net worth of principals; personal asset quality (liquid vs. illiquid)</t>
        </is>
      </c>
      <c r="I24" s="37" t="inlineStr">
        <is>
          <t>📦 Orbis: UBO data — identifies all beneficial owners and their associated entities. 📦 RDC/GRID: Personal screening of all principals — sanctions, PEPs, adverse news. 📦 Cortera: Personal financial behavior signals for principal-level screening.</t>
        </is>
      </c>
    </row>
    <row r="26" ht="14" customHeight="1">
      <c r="A26" s="131" t="inlineStr">
        <is>
          <t xml:space="preserve">  LEGEND: 🚨 Red Flag = Decline/Referral trigger  |  💰 Pricing Driver = Affects premium  |  ⚠️ Review Trigger = UW judgment needed  |  🟢 Positive = Favorable indicator  |  📋 Coverage Driver = Affects terms/scope  |  Column 9 (RED) = Moody's data mapped to this input</t>
        </is>
      </c>
    </row>
  </sheetData>
  <mergeCells count="18">
    <mergeCell ref="A6"/>
    <mergeCell ref="A2:I2"/>
    <mergeCell ref="F7:I7"/>
    <mergeCell ref="A5:I5"/>
    <mergeCell ref="C7"/>
    <mergeCell ref="A7"/>
    <mergeCell ref="B7"/>
    <mergeCell ref="A1:I1"/>
    <mergeCell ref="B6"/>
    <mergeCell ref="D6"/>
    <mergeCell ref="C6"/>
    <mergeCell ref="D7"/>
    <mergeCell ref="A3:I3"/>
    <mergeCell ref="E6"/>
    <mergeCell ref="E7"/>
    <mergeCell ref="A4:I4"/>
    <mergeCell ref="A26:I26"/>
    <mergeCell ref="F6:I6"/>
  </mergeCells>
  <pageMargins left="0.75" right="0.75" top="1" bottom="1" header="0.5" footer="0.5"/>
</worksheet>
</file>

<file path=xl/worksheets/sheet11.xml><?xml version="1.0" encoding="utf-8"?>
<worksheet xmlns="http://schemas.openxmlformats.org/spreadsheetml/2006/main">
  <sheetPr>
    <tabColor rgb="00744210"/>
    <outlinePr summaryBelow="1" summaryRight="1"/>
    <pageSetUpPr/>
  </sheetPr>
  <dimension ref="A1:I26"/>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40" customWidth="1" min="3" max="3"/>
    <col width="38" customWidth="1" min="4" max="4"/>
    <col width="16" customWidth="1" min="5" max="5"/>
    <col width="28" customWidth="1" min="6" max="6"/>
    <col width="13" customWidth="1" min="7" max="7"/>
    <col width="36" customWidth="1" min="8" max="8"/>
    <col width="42" customWidth="1" min="9" max="9"/>
  </cols>
  <sheetData>
    <row r="1" ht="30" customHeight="1">
      <c r="A1" s="112" t="inlineStr">
        <is>
          <t xml:space="preserve">  Trade Credit — Buyer Default &amp; Accounts Receivable Insurance  |  Underwriting Intelligence Framework</t>
        </is>
      </c>
    </row>
    <row r="2" ht="16" customHeight="1">
      <c r="A2" s="113" t="inlineStr">
        <is>
          <t xml:space="preserve">  Protects sellers against buyer non-payment due to insolvency or protracted default. Also covers political/transfer risk in export trade.</t>
        </is>
      </c>
    </row>
    <row r="3" ht="16" customHeight="1">
      <c r="A3" s="114" t="inlineStr">
        <is>
          <t xml:space="preserve">  Typical Clients: Exporters, manufacturers, distributors, wholesalers, banks with trade finance portfolios, factoring companies</t>
        </is>
      </c>
    </row>
    <row r="4" ht="4" customHeight="1">
      <c r="A4" s="33" t="n"/>
    </row>
    <row r="5" ht="15" customHeight="1">
      <c r="A5" s="115" t="inlineStr">
        <is>
          <t xml:space="preserve">  UNDERWRITING PROCESS FLOW</t>
        </is>
      </c>
    </row>
    <row r="6" ht="26" customHeight="1">
      <c r="A6" s="116" t="inlineStr">
        <is>
          <t xml:space="preserve">  1. Policyholder Review ▶</t>
        </is>
      </c>
      <c r="B6" s="117" t="inlineStr">
        <is>
          <t xml:space="preserve">  2. Buyer Credit Limits ▶</t>
        </is>
      </c>
      <c r="C6" s="116" t="inlineStr">
        <is>
          <t xml:space="preserve">  3. Country / Political Risk ▶</t>
        </is>
      </c>
      <c r="D6" s="117" t="inlineStr">
        <is>
          <t xml:space="preserve">  4. Policy Structure ▶</t>
        </is>
      </c>
      <c r="E6" s="116" t="inlineStr">
        <is>
          <t xml:space="preserve">  5. Ongoing Monitoring ▶</t>
        </is>
      </c>
      <c r="F6" s="117" t="inlineStr">
        <is>
          <t xml:space="preserve">  6. Claims</t>
        </is>
      </c>
    </row>
    <row r="7" ht="26" customHeight="1">
      <c r="A7" s="118" t="inlineStr">
        <is>
          <t xml:space="preserve">  Seller's financial health, industry, export profile, AR portfolio structure</t>
        </is>
      </c>
      <c r="B7" s="118" t="inlineStr">
        <is>
          <t xml:space="preserve">  Each buyer assessed: financials, payment history, country, credit limit request</t>
        </is>
      </c>
      <c r="C7" s="118" t="inlineStr">
        <is>
          <t xml:space="preserve">  Political stability, currency convertibility, payment moratoria, expropriation, sanctions</t>
        </is>
      </c>
      <c r="D7" s="118" t="inlineStr">
        <is>
          <t xml:space="preserve">  Whole turnover vs. named buyer, % insured, first loss, max liability, premium rate</t>
        </is>
      </c>
      <c r="E7" s="118" t="inlineStr">
        <is>
          <t xml:space="preserve">  Buyer limit reviews, overdue reporting, economic indicators, news alerts</t>
        </is>
      </c>
      <c r="F7" s="118" t="inlineStr">
        <is>
          <t xml:space="preserve">  Buyer insolvency or protracted default triggers claim. Disputed debts excluded.</t>
        </is>
      </c>
    </row>
    <row r="8" ht="5" customHeight="1"/>
    <row r="9" ht="30" customHeight="1">
      <c r="A9" s="119" t="inlineStr">
        <is>
          <t>Category</t>
        </is>
      </c>
      <c r="B9" s="119" t="inlineStr">
        <is>
          <t>Data Point / Input</t>
        </is>
      </c>
      <c r="C9" s="119" t="inlineStr">
        <is>
          <t>What Underwriters Look For</t>
        </is>
      </c>
      <c r="D9" s="119" t="inlineStr">
        <is>
          <t>How It Drives the Decision</t>
        </is>
      </c>
      <c r="E9" s="119" t="inlineStr">
        <is>
          <t>Signal</t>
        </is>
      </c>
      <c r="F9" s="119" t="inlineStr">
        <is>
          <t>Primary Data Source Today</t>
        </is>
      </c>
      <c r="G9" s="119" t="inlineStr">
        <is>
          <t>Importance</t>
        </is>
      </c>
      <c r="H9" s="119" t="inlineStr">
        <is>
          <t>Nice to Have (Current Gap)</t>
        </is>
      </c>
      <c r="I9" s="120" t="inlineStr">
        <is>
          <t>Moody's Data Opportunity</t>
        </is>
      </c>
    </row>
    <row r="10" ht="46" customHeight="1">
      <c r="A10" s="121" t="inlineStr">
        <is>
          <t>Policyholder Profile</t>
        </is>
      </c>
      <c r="B10" s="122" t="inlineStr">
        <is>
          <t>Policyholder Creditworthiness</t>
        </is>
      </c>
      <c r="C10" s="40" t="inlineStr">
        <is>
          <t>Seller's own financial health. Distressed seller = moral hazard (ships to risky buyers to generate revenue).</t>
        </is>
      </c>
      <c r="D10" s="40" t="inlineStr">
        <is>
          <t>Financially weak policyholder = adverse selection. Strong policyholder = disciplined credit management.</t>
        </is>
      </c>
      <c r="E10" s="130" t="inlineStr">
        <is>
          <t>⚠️ Review Trigger</t>
        </is>
      </c>
      <c r="F10" s="124" t="inlineStr">
        <is>
          <t>Audited financials, credit report, bank references</t>
        </is>
      </c>
      <c r="G10" s="121" t="inlineStr">
        <is>
          <t>High</t>
        </is>
      </c>
      <c r="H10" s="125" t="inlineStr">
        <is>
          <t>Revenue trend, leverage, DSO history, collection effectiveness index</t>
        </is>
      </c>
      <c r="I10" s="37" t="inlineStr">
        <is>
          <t>📦 EDF-X: Private/public PD model for the policyholder entity. 📦 CreditView: Credit analysis for rated policyholders. 📦 Orbis: Financial statements + company profile. 📦 Cortera: Trade payment behavior and credit risk score for SME policyholders.</t>
        </is>
      </c>
    </row>
    <row r="11" ht="46" customHeight="1">
      <c r="A11" s="121" t="n"/>
      <c r="B11" s="122" t="inlineStr">
        <is>
          <t>Accounts Receivable Portfolio Structure</t>
        </is>
      </c>
      <c r="C11" s="40" t="inlineStr">
        <is>
          <t>Buyer concentration (single buyer &gt;20% = concentration risk). Average invoice size. Payment terms (net 30/60/90/120).</t>
        </is>
      </c>
      <c r="D11" s="40" t="inlineStr">
        <is>
          <t>Concentrated portfolio = correlated loss risk. Long payment terms (&gt;90 days) = elevated insolvency risk window.</t>
        </is>
      </c>
      <c r="E11" s="123" t="inlineStr">
        <is>
          <t>💰 Pricing Driver</t>
        </is>
      </c>
      <c r="F11" s="124" t="inlineStr">
        <is>
          <t>AR aging schedule, debtor listing, application</t>
        </is>
      </c>
      <c r="G11" s="121" t="inlineStr">
        <is>
          <t>High</t>
        </is>
      </c>
      <c r="H11" s="125" t="inlineStr">
        <is>
          <t>Buyer industry diversification; average days-to-payment vs. terms; AR turnover ratio</t>
        </is>
      </c>
      <c r="I11" s="37" t="inlineStr">
        <is>
          <t>📦 Cortera: Trade payment data across B2B network — $1.45T+ in annual spend. Delinquency scores by buyer. 📦 Orbis: Buyer entity identification and financial health. 📦 EDF-X: Buyer PD for portfolio-level risk assessment.</t>
        </is>
      </c>
    </row>
    <row r="12" ht="46" customHeight="1">
      <c r="A12" s="121" t="n"/>
      <c r="B12" s="122" t="inlineStr">
        <is>
          <t>Industry of Policyholder</t>
        </is>
      </c>
      <c r="C12" s="40" t="inlineStr">
        <is>
          <t>Industry cycles affect buyer financial health. Manufacturing→retail = retail cycle risk. Energy = commodity price exposure.</t>
        </is>
      </c>
      <c r="D12" s="40" t="inlineStr">
        <is>
          <t>Industry drives portfolio-level risk assessment. Policyholder in distressed sector = portfolio review required.</t>
        </is>
      </c>
      <c r="E12" s="123" t="inlineStr">
        <is>
          <t>💰 Pricing Driver</t>
        </is>
      </c>
      <c r="F12" s="124" t="inlineStr">
        <is>
          <t>Application, SIC classification</t>
        </is>
      </c>
      <c r="G12" s="121" t="inlineStr">
        <is>
          <t>High</t>
        </is>
      </c>
      <c r="H12" s="125" t="inlineStr">
        <is>
          <t>Industry stress indicators; sector default rate forecasts; peer portfolio benchmarks</t>
        </is>
      </c>
      <c r="I12" s="37" t="inlineStr">
        <is>
          <t>📦 Economy.com: Sector-level default rate forecasts and stress scenarios. 📦 Orbis: Industry classification (SIC/NAICS) for 625M+ entities. 📦 Ratings: Sector outlooks from Moody's research team.</t>
        </is>
      </c>
    </row>
    <row r="13" ht="46" customHeight="1">
      <c r="A13" s="121" t="inlineStr">
        <is>
          <t>Buyer Assessment</t>
        </is>
      </c>
      <c r="B13" s="122" t="inlineStr">
        <is>
          <t>Buyer Financial Statements</t>
        </is>
      </c>
      <c r="C13" s="40" t="inlineStr">
        <is>
          <t>Revenue, EBITDA, leverage, liquidity of each buyer. Trend over 3 years. Going concern? Audited?</t>
        </is>
      </c>
      <c r="D13" s="40" t="inlineStr">
        <is>
          <t>Buyer financial distress = claims trigger. Quality of financials varies by country (SMEs often have none).</t>
        </is>
      </c>
      <c r="E13" s="126" t="inlineStr">
        <is>
          <t>🚨 Red Flag</t>
        </is>
      </c>
      <c r="F13" s="124" t="inlineStr">
        <is>
          <t>Buyer-submitted financials, commercial credit reports</t>
        </is>
      </c>
      <c r="G13" s="121" t="inlineStr">
        <is>
          <t>High</t>
        </is>
      </c>
      <c r="H13" s="125" t="inlineStr">
        <is>
          <t>Buyer PD score; implied credit rating; financial trend modeling; peer comparison</t>
        </is>
      </c>
      <c r="I13" s="37" t="inlineStr">
        <is>
          <t>📦 EDF-X: PD model for private company buyers — fills the financial data gap for unrated SME buyers globally. 📦 Orbis: Financial statements for 625M+ companies. 📦 CreditView: Rated buyer analysis + sector context. 📦 Ratings: Direct Moody's ratings for large buyers.</t>
        </is>
      </c>
    </row>
    <row r="14" ht="46" customHeight="1">
      <c r="A14" s="121" t="n"/>
      <c r="B14" s="122" t="inlineStr">
        <is>
          <t>Trade Payment History</t>
        </is>
      </c>
      <c r="C14" s="40" t="inlineStr">
        <is>
          <t>Has buyer paid this seller on time? Industry payment data — how does buyer pay all creditors?</t>
        </is>
      </c>
      <c r="D14" s="40" t="inlineStr">
        <is>
          <t>Payment slowdown = leading indicator of distress. 30+ days late = 3x elevated default probability.</t>
        </is>
      </c>
      <c r="E14" s="126" t="inlineStr">
        <is>
          <t>🚨 Red Flag</t>
        </is>
      </c>
      <c r="F14" s="124" t="inlineStr">
        <is>
          <t>Policyholder's payment records, trade credit bureaus</t>
        </is>
      </c>
      <c r="G14" s="121" t="inlineStr">
        <is>
          <t>High</t>
        </is>
      </c>
      <c r="H14" s="125" t="inlineStr">
        <is>
          <t>Days Beyond Terms (DBT) trend; payment velocity change over 6 months; delinquency vs. peer buyers</t>
        </is>
      </c>
      <c r="I14" s="37" t="inlineStr">
        <is>
          <t>📦 Cortera: Core product — $1.45T+ in B2B payment history. Delinquency scores. DBT trends. Payment behavior change detection. 📦 Orbis: Integrates Cortera payment data. 📦 EDF-X Payment Model: Specifically calibrated on payment behavior signals.</t>
        </is>
      </c>
    </row>
    <row r="15" ht="46" customHeight="1">
      <c r="A15" s="121" t="n"/>
      <c r="B15" s="122" t="inlineStr">
        <is>
          <t>Buyer Insolvency / Public Filings</t>
        </is>
      </c>
      <c r="C15" s="40" t="inlineStr">
        <is>
          <t>Winding-up petitions, bankruptcy filings, receivership, insolvency proceedings, judgment against buyer.</t>
        </is>
      </c>
      <c r="D15" s="40" t="inlineStr">
        <is>
          <t>Formal insolvency = immediate limit suspension. Rumors of distress = trigger for limit review.</t>
        </is>
      </c>
      <c r="E15" s="126" t="inlineStr">
        <is>
          <t>🚨 Red Flag</t>
        </is>
      </c>
      <c r="F15" s="124" t="inlineStr">
        <is>
          <t>Court records, insolvency registries, news monitoring</t>
        </is>
      </c>
      <c r="G15" s="121" t="inlineStr">
        <is>
          <t>High</t>
        </is>
      </c>
      <c r="H15" s="125" t="inlineStr">
        <is>
          <t>Real-time insolvency alerts; pre-insolvency stress signals (filing delays, utility defaults)</t>
        </is>
      </c>
      <c r="I15" s="37" t="inlineStr">
        <is>
          <t>📦 Cortera: Bankruptcy monitoring, tax liens, civil judgments — real-time alerts. 📦 EDF-X Early Warning: Flags severe credit deterioration 3–6 months before formal insolvency. 📦 RDC/GRID: Adverse news and legal proceedings monitoring globally.</t>
        </is>
      </c>
    </row>
    <row r="16" ht="46" customHeight="1">
      <c r="A16" s="121" t="n"/>
      <c r="B16" s="122" t="inlineStr">
        <is>
          <t>Credit Limit vs. Exposure</t>
        </is>
      </c>
      <c r="C16" s="40" t="inlineStr">
        <is>
          <t>Size of credit limit vs. buyer's financial capacity. Limit as % of buyer's revenue/equity.</t>
        </is>
      </c>
      <c r="D16" s="40" t="inlineStr">
        <is>
          <t>Excessive limit vs. buyer size = concentration risk. Limit &gt;25% buyer equity = red flag.</t>
        </is>
      </c>
      <c r="E16" s="130" t="inlineStr">
        <is>
          <t>⚠️ Review Trigger</t>
        </is>
      </c>
      <c r="F16" s="124" t="inlineStr">
        <is>
          <t>Buyer financials, trade references, credit bureau data</t>
        </is>
      </c>
      <c r="G16" s="121" t="inlineStr">
        <is>
          <t>High</t>
        </is>
      </c>
      <c r="H16" s="125" t="inlineStr">
        <is>
          <t>Exposure-to-equity ratio; portfolio-level concentration metrics</t>
        </is>
      </c>
      <c r="I16" s="37" t="inlineStr">
        <is>
          <t>📦 EDF-X: Implied ratings for unrated buyers — enables consistent credit limit benchmarking globally. 📦 CreditView: Rated entity limit benchmarking. 📦 Cortera: Credit line data and peer comparison for SME buyers.</t>
        </is>
      </c>
    </row>
    <row r="17" ht="46" customHeight="1">
      <c r="A17" s="121" t="inlineStr">
        <is>
          <t>Country &amp; Political Risk</t>
        </is>
      </c>
      <c r="B17" s="122" t="inlineStr">
        <is>
          <t>Buyer Country Risk Rating</t>
        </is>
      </c>
      <c r="C17" s="40" t="inlineStr">
        <is>
          <t>Political stability, rule of law, currency convertibility, payment moratoria, OECD country risk classifications (0–7).</t>
        </is>
      </c>
      <c r="D17" s="40" t="inlineStr">
        <is>
          <t>High-risk country = surcharge or sub-limit. Sanctioned countries = automatic exclusion.</t>
        </is>
      </c>
      <c r="E17" s="123" t="inlineStr">
        <is>
          <t>💰 Pricing Driver</t>
        </is>
      </c>
      <c r="F17" s="124" t="inlineStr">
        <is>
          <t>OECD country risk, Moody's sovereign ratings, Coface</t>
        </is>
      </c>
      <c r="G17" s="121" t="inlineStr">
        <is>
          <t>High</t>
        </is>
      </c>
      <c r="H17" s="125" t="inlineStr">
        <is>
          <t>Country ESG/governance score; political transition risk; trade payment data by country</t>
        </is>
      </c>
      <c r="I17" s="37" t="inlineStr">
        <is>
          <t>📦 Ratings: Moody's sovereign ratings — the gold standard for country creditworthiness. 📦 Economy.com: Country-level GDP, trade balance, FX, political risk forecasts for 120+ countries. 📦 CreditView: Sovereign and country risk research.</t>
        </is>
      </c>
    </row>
    <row r="18" ht="46" customHeight="1">
      <c r="A18" s="121" t="n"/>
      <c r="B18" s="122" t="inlineStr">
        <is>
          <t>Currency Convertibility Risk</t>
        </is>
      </c>
      <c r="C18" s="40" t="inlineStr">
        <is>
          <t>Can buyer convert local currency to pay? Central bank reserves, FX controls, payment moratoria history.</t>
        </is>
      </c>
      <c r="D18" s="40" t="inlineStr">
        <is>
          <t>Currency transfer block = non-payment even from solvent buyers. Critical for EM trade credit.</t>
        </is>
      </c>
      <c r="E18" s="127" t="inlineStr">
        <is>
          <t>📋 Coverage Driver</t>
        </is>
      </c>
      <c r="F18" s="124" t="inlineStr">
        <is>
          <t>Moody's sovereign analysis, IMF data</t>
        </is>
      </c>
      <c r="G18" s="121" t="inlineStr">
        <is>
          <t>High</t>
        </is>
      </c>
      <c r="H18" s="125" t="inlineStr">
        <is>
          <t>FX reserve trend; balance of payments; official vs. black market FX spread</t>
        </is>
      </c>
      <c r="I18" s="37" t="inlineStr">
        <is>
          <t>📦 Economy.com: FX forecasts, balance of payments data, reserve adequacy metrics for 120+ countries. 📦 Ratings: Sovereign foreign currency ratings specifically address convertibility risk.</t>
        </is>
      </c>
    </row>
    <row r="19" ht="46" customHeight="1">
      <c r="A19" s="121" t="n"/>
      <c r="B19" s="122" t="inlineStr">
        <is>
          <t>Sanctions / OFAC Exposure</t>
        </is>
      </c>
      <c r="C19" s="40" t="inlineStr">
        <is>
          <t>Buyer or buyer country under OFAC, EU, UN, UK sanctions? Sanctioned beneficial owners?</t>
        </is>
      </c>
      <c r="D19" s="40" t="inlineStr">
        <is>
          <t>Sanctioned buyer = automatic policy exclusion. Zero underwriter discretion. AML/KYC critical.</t>
        </is>
      </c>
      <c r="E19" s="126" t="inlineStr">
        <is>
          <t>🚨 Red Flag</t>
        </is>
      </c>
      <c r="F19" s="124" t="inlineStr">
        <is>
          <t>OFAC SDN list, EU/UK sanctions, own compliance screening</t>
        </is>
      </c>
      <c r="G19" s="121" t="inlineStr">
        <is>
          <t>High</t>
        </is>
      </c>
      <c r="H19" s="125" t="inlineStr">
        <is>
          <t>Beneficial ownership screening; PEP checks; sanctions monitoring frequency</t>
        </is>
      </c>
      <c r="I19" s="37" t="inlineStr">
        <is>
          <t>📦 RDC/GRID: Primary tool — world's largest sanctions database. Daily updates. 200+ jurisdictions. OFAC, EU, UN, UK, FATF. 📦 Orbis: UBO data to identify sanctioned beneficial owners behind clean-looking entities.</t>
        </is>
      </c>
    </row>
    <row r="20" ht="46" customHeight="1">
      <c r="A20" s="121" t="inlineStr">
        <is>
          <t>Portfolio Risk</t>
        </is>
      </c>
      <c r="B20" s="122" t="inlineStr">
        <is>
          <t>Buyer Concentration</t>
        </is>
      </c>
      <c r="C20" s="40" t="inlineStr">
        <is>
          <t>Single buyer &gt;X% of total AR. Top 5 buyers as % of total exposure. Industry concentration.</t>
        </is>
      </c>
      <c r="D20" s="40" t="inlineStr">
        <is>
          <t>Buyer default can breach maximum liability cap. Concentration = proportional coverage limits triggered.</t>
        </is>
      </c>
      <c r="E20" s="123" t="inlineStr">
        <is>
          <t>💰 Pricing Driver</t>
        </is>
      </c>
      <c r="F20" s="124" t="inlineStr">
        <is>
          <t>AR portfolio data from policyholder</t>
        </is>
      </c>
      <c r="G20" s="121" t="inlineStr">
        <is>
          <t>High</t>
        </is>
      </c>
      <c r="H20" s="125" t="inlineStr">
        <is>
          <t>Buyer portfolio entropy score; worst-case scenario modeling; buyer default correlation</t>
        </is>
      </c>
      <c r="I20" s="37" t="inlineStr">
        <is>
          <t>📦 EDF-X: Portfolio-level PD distribution across buyer portfolio. 📦 Economy.com: Sector correlation modeling — which buyer industries have correlated default risk. 📦 Cortera: Portfolio-level payment behavior across B2B network.</t>
        </is>
      </c>
    </row>
    <row r="21" ht="46" customHeight="1">
      <c r="A21" s="121" t="n"/>
      <c r="B21" s="122" t="inlineStr">
        <is>
          <t>Days Sales Outstanding (DSO)</t>
        </is>
      </c>
      <c r="C21" s="40" t="inlineStr">
        <is>
          <t>Trend in DSO over 12–24 months. Rising DSO = buyers paying slower = building stress signal. DSO vs. industry benchmark.</t>
        </is>
      </c>
      <c r="D21" s="40" t="inlineStr">
        <is>
          <t>Rising DSO = early warning signal 3–6 months before claims spike.</t>
        </is>
      </c>
      <c r="E21" s="130" t="inlineStr">
        <is>
          <t>⚠️ Review Trigger</t>
        </is>
      </c>
      <c r="F21" s="124" t="inlineStr">
        <is>
          <t>Policyholder's AR management reports</t>
        </is>
      </c>
      <c r="G21" s="121" t="inlineStr">
        <is>
          <t>High</t>
        </is>
      </c>
      <c r="H21" s="125" t="inlineStr">
        <is>
          <t>DSO by buyer country; DSO vs. industry median; DSO acceleration rate</t>
        </is>
      </c>
      <c r="I21" s="37" t="inlineStr">
        <is>
          <t>📦 Cortera: Trade payment data and delinquency scoring — directly measures DSO equivalents across the B2B network. 📦 EDF-X Payment Model: Payment behavior as leading indicator of credit deterioration.</t>
        </is>
      </c>
    </row>
    <row r="22" ht="46" customHeight="1">
      <c r="A22" s="128" t="n"/>
      <c r="B22" s="129" t="inlineStr">
        <is>
          <t>First Loss / Deductible Structure</t>
        </is>
      </c>
      <c r="C22" s="40" t="inlineStr">
        <is>
          <t>How much risk does the policyholder retain? Higher first loss = better skin in the game.</t>
        </is>
      </c>
      <c r="D22" s="40" t="inlineStr">
        <is>
          <t>Higher retention = disciplined credit management. Very low retention = adverse selection risk.</t>
        </is>
      </c>
      <c r="E22" s="127" t="inlineStr">
        <is>
          <t>📋 Coverage Driver</t>
        </is>
      </c>
      <c r="F22" s="124" t="inlineStr">
        <is>
          <t>Policy structure, application</t>
        </is>
      </c>
      <c r="G22" s="128" t="inlineStr">
        <is>
          <t>Medium</t>
        </is>
      </c>
      <c r="H22" s="125" t="inlineStr">
        <is>
          <t>Optimal retention modeling vs. portfolio risk characteristics</t>
        </is>
      </c>
      <c r="I22" s="37" t="inlineStr">
        <is>
          <t>📦 Economy.com: Loss scenario modeling for portfolio stress testing. 📦 EDF-X: Portfolio-level PD distribution to calibrate appropriate retention levels.</t>
        </is>
      </c>
    </row>
    <row r="23" ht="46" customHeight="1">
      <c r="A23" s="121" t="inlineStr">
        <is>
          <t>Macro Context</t>
        </is>
      </c>
      <c r="B23" s="122" t="inlineStr">
        <is>
          <t>Economic Outlook for Buyer Markets</t>
        </is>
      </c>
      <c r="C23" s="40" t="inlineStr">
        <is>
          <t>GDP growth trajectory for buyer's country/sector. Recession indicators. High interest rates squeeze buyer cash flow.</t>
        </is>
      </c>
      <c r="D23" s="40" t="inlineStr">
        <is>
          <t>Economic downturn in buyer market = portfolio-wide stress. Leading indicators drive portfolio repricing.</t>
        </is>
      </c>
      <c r="E23" s="123" t="inlineStr">
        <is>
          <t>💰 Pricing Driver</t>
        </is>
      </c>
      <c r="F23" s="124" t="inlineStr">
        <is>
          <t>IMF, World Bank, Moody's macro forecasts</t>
        </is>
      </c>
      <c r="G23" s="121" t="inlineStr">
        <is>
          <t>High</t>
        </is>
      </c>
      <c r="H23" s="125" t="inlineStr">
        <is>
          <t>GDP growth forecasts; PMI trends; credit cycle position; interest rate path</t>
        </is>
      </c>
      <c r="I23" s="37" t="inlineStr">
        <is>
          <t>📦 Economy.com: Core product — 120+ country macro forecasts, 10 alternative scenarios, monthly updates. 30-year horizon. 📦 Ratings: Moody's macro research team outlooks. 📦 CreditView: Sector and sovereign credit cycle analysis.</t>
        </is>
      </c>
    </row>
    <row r="24" ht="46" customHeight="1">
      <c r="A24" s="121" t="n"/>
      <c r="B24" s="122" t="inlineStr">
        <is>
          <t>Industry Stress Indicators</t>
        </is>
      </c>
      <c r="C24" s="40" t="inlineStr">
        <is>
          <t>Sector distress: retail collapse, energy price swings, commodity cycles, construction downturns.</t>
        </is>
      </c>
      <c r="D24" s="40" t="inlineStr">
        <is>
          <t>Sector-wide distress = correlated buyer defaults. Portfolio sensitivity to sector shock must be modeled.</t>
        </is>
      </c>
      <c r="E24" s="130" t="inlineStr">
        <is>
          <t>⚠️ Review Trigger</t>
        </is>
      </c>
      <c r="F24" s="124" t="inlineStr">
        <is>
          <t>Industry reports, Moody's sector outlooks</t>
        </is>
      </c>
      <c r="G24" s="121" t="inlineStr">
        <is>
          <t>High</t>
        </is>
      </c>
      <c r="H24" s="125" t="inlineStr">
        <is>
          <t>Sector default rate forecasts; industry leverage trends; supply chain stress indicators</t>
        </is>
      </c>
      <c r="I24" s="37" t="inlineStr">
        <is>
          <t>📦 Economy.com: Sector-level economic forecasts + industry stress scenarios. 📦 Praedicat: Industry liability stress (emerging mass tort in sectors like chemicals, food processing). 📦 Ratings: Sector outlook reports from Moody's research.</t>
        </is>
      </c>
    </row>
    <row r="26" ht="14" customHeight="1">
      <c r="A26" s="131" t="inlineStr">
        <is>
          <t xml:space="preserve">  LEGEND: 🚨 Red Flag = Decline/Referral trigger  |  💰 Pricing Driver = Affects premium  |  ⚠️ Review Trigger = UW judgment needed  |  🟢 Positive = Favorable indicator  |  📋 Coverage Driver = Affects terms/scope  |  Column 9 (RED) = Moody's data mapped to this input</t>
        </is>
      </c>
    </row>
  </sheetData>
  <mergeCells count="18">
    <mergeCell ref="A6"/>
    <mergeCell ref="A2:I2"/>
    <mergeCell ref="F7:I7"/>
    <mergeCell ref="A5:I5"/>
    <mergeCell ref="C7"/>
    <mergeCell ref="A7"/>
    <mergeCell ref="B7"/>
    <mergeCell ref="A1:I1"/>
    <mergeCell ref="B6"/>
    <mergeCell ref="D6"/>
    <mergeCell ref="C6"/>
    <mergeCell ref="D7"/>
    <mergeCell ref="A3:I3"/>
    <mergeCell ref="E6"/>
    <mergeCell ref="E7"/>
    <mergeCell ref="A4:I4"/>
    <mergeCell ref="A26:I26"/>
    <mergeCell ref="F6:I6"/>
  </mergeCells>
  <pageMargins left="0.75" right="0.75" top="1" bottom="1" header="0.5" footer="0.5"/>
</worksheet>
</file>

<file path=xl/worksheets/sheet12.xml><?xml version="1.0" encoding="utf-8"?>
<worksheet xmlns="http://schemas.openxmlformats.org/spreadsheetml/2006/main">
  <sheetPr>
    <tabColor rgb="007B341E"/>
    <outlinePr summaryBelow="1" summaryRight="1"/>
    <pageSetUpPr/>
  </sheetPr>
  <dimension ref="A1:I24"/>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40" customWidth="1" min="3" max="3"/>
    <col width="38" customWidth="1" min="4" max="4"/>
    <col width="16" customWidth="1" min="5" max="5"/>
    <col width="28" customWidth="1" min="6" max="6"/>
    <col width="13" customWidth="1" min="7" max="7"/>
    <col width="36" customWidth="1" min="8" max="8"/>
    <col width="42" customWidth="1" min="9" max="9"/>
  </cols>
  <sheetData>
    <row r="1" ht="30" customHeight="1">
      <c r="A1" s="112" t="inlineStr">
        <is>
          <t xml:space="preserve">  General Liability — Commercial General Liability (CGL)  |  Underwriting Intelligence Framework</t>
        </is>
      </c>
    </row>
    <row r="2" ht="16" customHeight="1">
      <c r="A2" s="113" t="inlineStr">
        <is>
          <t xml:space="preserve">  Covers businesses for third-party bodily injury, property damage, personal/advertising injury, and products/completed operations liability.</t>
        </is>
      </c>
    </row>
    <row r="3" ht="16" customHeight="1">
      <c r="A3" s="114" t="inlineStr">
        <is>
          <t xml:space="preserve">  Typical Clients: All commercial businesses — contractors, manufacturers, retailers, restaurants, tech companies, healthcare facilities</t>
        </is>
      </c>
    </row>
    <row r="4" ht="4" customHeight="1">
      <c r="A4" s="33" t="n"/>
    </row>
    <row r="5" ht="15" customHeight="1">
      <c r="A5" s="115" t="inlineStr">
        <is>
          <t xml:space="preserve">  UNDERWRITING PROCESS FLOW</t>
        </is>
      </c>
    </row>
    <row r="6" ht="26" customHeight="1">
      <c r="A6" s="116" t="inlineStr">
        <is>
          <t xml:space="preserve">  1. Class Code Assignment ▶</t>
        </is>
      </c>
      <c r="B6" s="117" t="inlineStr">
        <is>
          <t xml:space="preserve">  2. Exposure Basis ▶</t>
        </is>
      </c>
      <c r="C6" s="116" t="inlineStr">
        <is>
          <t xml:space="preserve">  3. Operations Analysis ▶</t>
        </is>
      </c>
      <c r="D6" s="117" t="inlineStr">
        <is>
          <t xml:space="preserve">  4. Loss History ▶</t>
        </is>
      </c>
      <c r="E6" s="116" t="inlineStr">
        <is>
          <t xml:space="preserve">  5. Coverage Determination ▶</t>
        </is>
      </c>
      <c r="F6" s="117" t="inlineStr">
        <is>
          <t xml:space="preserve">  6. Bind / Refer</t>
        </is>
      </c>
    </row>
    <row r="7" ht="26" customHeight="1">
      <c r="A7" s="118" t="inlineStr">
        <is>
          <t xml:space="preserve">  Operations classified by ISO CGL class code — determines base rate</t>
        </is>
      </c>
      <c r="B7" s="118" t="inlineStr">
        <is>
          <t xml:space="preserve">  Revenue, payroll, or square footage determines premium calculation basis</t>
        </is>
      </c>
      <c r="C7" s="118" t="inlineStr">
        <is>
          <t xml:space="preserve">  Nature of work, products sold, premises type, hazard level, contractual liability</t>
        </is>
      </c>
      <c r="D7" s="118" t="inlineStr">
        <is>
          <t xml:space="preserve">  5-year loss runs: frequency, severity, open reserves, large losses &gt;$100K</t>
        </is>
      </c>
      <c r="E7" s="118" t="inlineStr">
        <is>
          <t xml:space="preserve">  CGL limits, umbrella need, products/completed ops, contractual liability scope</t>
        </is>
      </c>
      <c r="F7" s="118" t="inlineStr">
        <is>
          <t xml:space="preserve">  Risk appetite check, reinsurance treaty fit, jurisdictional approval</t>
        </is>
      </c>
    </row>
    <row r="8" ht="5" customHeight="1"/>
    <row r="9" ht="30" customHeight="1">
      <c r="A9" s="119" t="inlineStr">
        <is>
          <t>Category</t>
        </is>
      </c>
      <c r="B9" s="119" t="inlineStr">
        <is>
          <t>Data Point / Input</t>
        </is>
      </c>
      <c r="C9" s="119" t="inlineStr">
        <is>
          <t>What Underwriters Look For</t>
        </is>
      </c>
      <c r="D9" s="119" t="inlineStr">
        <is>
          <t>How It Drives the Decision</t>
        </is>
      </c>
      <c r="E9" s="119" t="inlineStr">
        <is>
          <t>Signal</t>
        </is>
      </c>
      <c r="F9" s="119" t="inlineStr">
        <is>
          <t>Primary Data Source Today</t>
        </is>
      </c>
      <c r="G9" s="119" t="inlineStr">
        <is>
          <t>Importance</t>
        </is>
      </c>
      <c r="H9" s="119" t="inlineStr">
        <is>
          <t>Nice to Have (Current Gap)</t>
        </is>
      </c>
      <c r="I9" s="120" t="inlineStr">
        <is>
          <t>Moody's Data Opportunity</t>
        </is>
      </c>
    </row>
    <row r="10" ht="46" customHeight="1">
      <c r="A10" s="121" t="inlineStr">
        <is>
          <t>Business Profile</t>
        </is>
      </c>
      <c r="B10" s="122" t="inlineStr">
        <is>
          <t>Nature of Operations</t>
        </is>
      </c>
      <c r="C10" s="40" t="inlineStr">
        <is>
          <t>Exactly what the business does and how. High-hazard: roofing, demolition, nightclubs, trampolines, chemical mfg.</t>
        </is>
      </c>
      <c r="D10" s="40" t="inlineStr">
        <is>
          <t>Operations narrative = most important GL input. Hazardous ops = declination or surplus lines placement.</t>
        </is>
      </c>
      <c r="E10" s="123" t="inlineStr">
        <is>
          <t>💰 Pricing Driver</t>
        </is>
      </c>
      <c r="F10" s="124" t="inlineStr">
        <is>
          <t>Application, inspection, website, financial statements</t>
        </is>
      </c>
      <c r="G10" s="121" t="inlineStr">
        <is>
          <t>High</t>
        </is>
      </c>
      <c r="H10" s="125" t="inlineStr">
        <is>
          <t>Operations complexity score; customer-facing vs. B2B risk split; hazard AI classification</t>
        </is>
      </c>
      <c r="I10" s="37" t="inlineStr">
        <is>
          <t>📦 Orbis: Business description + SIC/NAICS classification for 625M+ entities. 📦 Praedicat: Litagion® agent screening — does the insured's business involve any products/chemicals with mass tort potential? 📦 Economy.com: Industry-level risk forecasts for insured's sector.</t>
        </is>
      </c>
    </row>
    <row r="11" ht="46" customHeight="1">
      <c r="A11" s="121" t="n"/>
      <c r="B11" s="122" t="inlineStr">
        <is>
          <t>Industry / SIC / NAICS Code</t>
        </is>
      </c>
      <c r="C11" s="40" t="inlineStr">
        <is>
          <t>ISO CGL class code drives base rate. Some classes = prohibited in standard markets. Contractor vs. commercial.</t>
        </is>
      </c>
      <c r="D11" s="40" t="inlineStr">
        <is>
          <t>Class code determines rate table. Misclassification = E&amp;O risk for agent. High-hazard = E&amp;S market.</t>
        </is>
      </c>
      <c r="E11" s="123" t="inlineStr">
        <is>
          <t>💰 Pricing Driver</t>
        </is>
      </c>
      <c r="F11" s="124" t="inlineStr">
        <is>
          <t>Application, SIC/NAICS, ISO class lookup</t>
        </is>
      </c>
      <c r="G11" s="121" t="inlineStr">
        <is>
          <t>High</t>
        </is>
      </c>
      <c r="H11" s="125" t="inlineStr">
        <is>
          <t>Multi-class operation analysis; class code trend for the insured's industry</t>
        </is>
      </c>
      <c r="I11" s="37" t="inlineStr">
        <is>
          <t>📦 Orbis: Precise SIC/NAICS for any entity globally. 📦 Praedicat: Class code-level mass tort risk scoring — which CGL classes have highest Litagion® exposure. 📦 Economy.com: Industry growth/stress forecasting by sector.</t>
        </is>
      </c>
    </row>
    <row r="12" ht="46" customHeight="1">
      <c r="A12" s="121" t="inlineStr">
        <is>
          <t>Exposure Basis</t>
        </is>
      </c>
      <c r="B12" s="122" t="inlineStr">
        <is>
          <t>Annual Revenue / Sales</t>
        </is>
      </c>
      <c r="C12" s="40" t="inlineStr">
        <is>
          <t>Revenue drives premium for most CGL classes (per $1,000). Must include ALL revenues including subsidiaries.</t>
        </is>
      </c>
      <c r="D12" s="40" t="inlineStr">
        <is>
          <t>Underreported revenue = coverage gap at claims time. Revenue growth = exposure growth.</t>
        </is>
      </c>
      <c r="E12" s="123" t="inlineStr">
        <is>
          <t>💰 Pricing Driver</t>
        </is>
      </c>
      <c r="F12" s="124" t="inlineStr">
        <is>
          <t>Financial statements, tax returns, application</t>
        </is>
      </c>
      <c r="G12" s="121" t="inlineStr">
        <is>
          <t>High</t>
        </is>
      </c>
      <c r="H12" s="125" t="inlineStr">
        <is>
          <t>Revenue by geography and product line; revenue quality (recurring vs. project)</t>
        </is>
      </c>
      <c r="I12" s="37" t="inlineStr">
        <is>
          <t>📦 Orbis: Multi-year revenue data for 625M+ companies — verify application-stated revenue. 📦 Cortera: Revenue signals and business growth indicators for SME insureds. 📦 EDF-X: Revenue sustainability and financial distress risk.</t>
        </is>
      </c>
    </row>
    <row r="13" ht="46" customHeight="1">
      <c r="A13" s="121" t="n"/>
      <c r="B13" s="122" t="inlineStr">
        <is>
          <t>Payroll by State / Classification</t>
        </is>
      </c>
      <c r="C13" s="40" t="inlineStr">
        <is>
          <t>For contractors: payroll = premium basis. WC class codes cross-reference GL. State matters for jurisdiction risk.</t>
        </is>
      </c>
      <c r="D13" s="40" t="inlineStr">
        <is>
          <t>Unreported payroll = coverage shortfall. High-hazard payroll in litigation-prone states = pricing trigger.</t>
        </is>
      </c>
      <c r="E13" s="123" t="inlineStr">
        <is>
          <t>💰 Pricing Driver</t>
        </is>
      </c>
      <c r="F13" s="124" t="inlineStr">
        <is>
          <t>WC audit reports, payroll records, application</t>
        </is>
      </c>
      <c r="G13" s="121" t="inlineStr">
        <is>
          <t>High</t>
        </is>
      </c>
      <c r="H13" s="125" t="inlineStr">
        <is>
          <t>State jurisdiction risk scores; litigation climate by state; nuclear verdict frequency by state</t>
        </is>
      </c>
      <c r="I13" s="37" t="inlineStr">
        <is>
          <t>📦 Economy.com: State-level economic and labor data — payroll trends by state and industry. 📦 [Litigation data gap] Praedicat: Jurisdiction-level litigation risk scoring by state.</t>
        </is>
      </c>
    </row>
    <row r="14" ht="46" customHeight="1">
      <c r="A14" s="121" t="inlineStr">
        <is>
          <t>Products &amp; Completed Ops</t>
        </is>
      </c>
      <c r="B14" s="122" t="inlineStr">
        <is>
          <t>Products Manufactured or Sold</t>
        </is>
      </c>
      <c r="C14" s="40" t="inlineStr">
        <is>
          <t>Ingested products (food, pharma) = highest risk. Children's products = strict liability. Imported goods = de facto manufacturer.</t>
        </is>
      </c>
      <c r="D14" s="40" t="inlineStr">
        <is>
          <t>Defective product = products liability claim. Importer of foreign-made goods = full manufacturer exposure in US courts.</t>
        </is>
      </c>
      <c r="E14" s="126" t="inlineStr">
        <is>
          <t>🚨 Red Flag</t>
        </is>
      </c>
      <c r="F14" s="124" t="inlineStr">
        <is>
          <t>Application, product catalog, import records</t>
        </is>
      </c>
      <c r="G14" s="121" t="inlineStr">
        <is>
          <t>High</t>
        </is>
      </c>
      <c r="H14" s="125" t="inlineStr">
        <is>
          <t>Product recall history; FDA warning letters; product liability claim frequency by type</t>
        </is>
      </c>
      <c r="I14" s="37" t="inlineStr">
        <is>
          <t>📦 Praedicat: THE definitive tool — Litagion® agent database maps specific products/chemicals to mass tort probability. PFAS, talc, glyphosate, opioids, and 100+ emerging compounds. 📦 Orbis: Supply chain + product import data. 📦 RDC/GRID: Adverse news on product recall or regulatory action.</t>
        </is>
      </c>
    </row>
    <row r="15" ht="46" customHeight="1">
      <c r="A15" s="121" t="n"/>
      <c r="B15" s="122" t="inlineStr">
        <is>
          <t>Completed Operations Exposure</t>
        </is>
      </c>
      <c r="C15" s="40" t="inlineStr">
        <is>
          <t>Construction, renovation, installation. Claims arise after work is done — defective workmanship causing BI/PD.</t>
        </is>
      </c>
      <c r="D15" s="40" t="inlineStr">
        <is>
          <t>Completed ops is long-tail exposure. Significant for contractors, HVAC, electricians. Statute of repose matters.</t>
        </is>
      </c>
      <c r="E15" s="127" t="inlineStr">
        <is>
          <t>📋 Coverage Driver</t>
        </is>
      </c>
      <c r="F15" s="124" t="inlineStr">
        <is>
          <t>Application, contract types, work performed</t>
        </is>
      </c>
      <c r="G15" s="121" t="inlineStr">
        <is>
          <t>High</t>
        </is>
      </c>
      <c r="H15" s="125" t="inlineStr">
        <is>
          <t>Project completion rate; warranty claim history; completed work portfolio by type</t>
        </is>
      </c>
      <c r="I15" s="37" t="inlineStr">
        <is>
          <t>📦 Economy.com: Construction sector forecasts — pipeline of completed work creating latent GL exposure. 📦 CRE Data: Real estate market conditions informing construction volume and quality trends.</t>
        </is>
      </c>
    </row>
    <row r="16" ht="46" customHeight="1">
      <c r="A16" s="121" t="inlineStr">
        <is>
          <t>Contractual Liability</t>
        </is>
      </c>
      <c r="B16" s="122" t="inlineStr">
        <is>
          <t>Hold Harmless / Indemnification Agreements</t>
        </is>
      </c>
      <c r="C16" s="40" t="inlineStr">
        <is>
          <t>Does the insured assume liability of others via contracts? Broad form indemnity = uncovered under standard CGL.</t>
        </is>
      </c>
      <c r="D16" s="40" t="inlineStr">
        <is>
          <t>Insured assuming another's negligence = uncovered unless endorsed. Major E&amp;O risk for agents.</t>
        </is>
      </c>
      <c r="E16" s="130" t="inlineStr">
        <is>
          <t>⚠️ Review Trigger</t>
        </is>
      </c>
      <c r="F16" s="124" t="inlineStr">
        <is>
          <t>Sample contracts, vendor/supplier agreements</t>
        </is>
      </c>
      <c r="G16" s="121" t="inlineStr">
        <is>
          <t>High</t>
        </is>
      </c>
      <c r="H16" s="125" t="inlineStr">
        <is>
          <t>Contract review for broad indemnity language; % of contracts with hold harmless clauses</t>
        </is>
      </c>
      <c r="I16" s="37" t="inlineStr">
        <is>
          <t>📦 Orbis: Corporate relationship data identifies which contracts might exist with large/specific counterparties. 📦 [AI opportunity] Contract analytics layered on Moody's entity data could flag risky indemnity language.</t>
        </is>
      </c>
    </row>
    <row r="17" ht="46" customHeight="1">
      <c r="A17" s="121" t="inlineStr">
        <is>
          <t>Loss History</t>
        </is>
      </c>
      <c r="B17" s="122" t="inlineStr">
        <is>
          <t>5-Year Loss History (Frequency)</t>
        </is>
      </c>
      <c r="C17" s="40" t="inlineStr">
        <is>
          <t>Claims per year vs. revenue. Frequency trend (increasing = behavioral issue). Nature: slip/fall, products, operations.</t>
        </is>
      </c>
      <c r="D17" s="40" t="inlineStr">
        <is>
          <t>High claim frequency = 25–100%+ pricing load. Increasing frequency = management issue.</t>
        </is>
      </c>
      <c r="E17" s="126" t="inlineStr">
        <is>
          <t>🚨 Red Flag</t>
        </is>
      </c>
      <c r="F17" s="124" t="inlineStr">
        <is>
          <t>Prior insurer loss runs (5 years), application</t>
        </is>
      </c>
      <c r="G17" s="121" t="inlineStr">
        <is>
          <t>High</t>
        </is>
      </c>
      <c r="H17" s="125" t="inlineStr">
        <is>
          <t>Industry benchmark frequency rates; claims-to-revenue ratio vs. peers; loss trend model</t>
        </is>
      </c>
      <c r="I17" s="37" t="inlineStr">
        <is>
          <t>📦 Praedicat: Industry-level GL claim frequency benchmarking by class of business. 📦 Economy.com: Industry economic stress correlation with GL claim frequency.</t>
        </is>
      </c>
    </row>
    <row r="18" ht="46" customHeight="1">
      <c r="A18" s="121" t="n"/>
      <c r="B18" s="122" t="inlineStr">
        <is>
          <t>Large / Severe Losses (Severity)</t>
        </is>
      </c>
      <c r="C18" s="40" t="inlineStr">
        <is>
          <t>Any single loss &gt;$100K in 5 years. Mass casualty potential. PFAS/environmental exposure. Open reserves = uncertainty.</t>
        </is>
      </c>
      <c r="D18" s="40" t="inlineStr">
        <is>
          <t>Single large loss = significant pricing driver. Mass tort exposure = E&amp;S market trigger.</t>
        </is>
      </c>
      <c r="E18" s="126" t="inlineStr">
        <is>
          <t>🚨 Red Flag</t>
        </is>
      </c>
      <c r="F18" s="124" t="inlineStr">
        <is>
          <t>Loss runs with reserves, application, prior carrier files</t>
        </is>
      </c>
      <c r="G18" s="121" t="inlineStr">
        <is>
          <t>High</t>
        </is>
      </c>
      <c r="H18" s="125" t="inlineStr">
        <is>
          <t>Loss severity trend; nuclear verdict exposure by industry/state; large loss predictor model</t>
        </is>
      </c>
      <c r="I18" s="37" t="inlineStr">
        <is>
          <t>📦 Praedicat: Stochastic severity modeling for casualty events — PML estimates for GL portfolios. Mass tort accumulation analysis. 📦 Economy.com: Social inflation data — litigation cost trends by state/sector.</t>
        </is>
      </c>
    </row>
    <row r="19" ht="46" customHeight="1">
      <c r="A19" s="121" t="inlineStr">
        <is>
          <t>Jurisdictional Risk</t>
        </is>
      </c>
      <c r="B19" s="122" t="inlineStr">
        <is>
          <t>Operating States / Judicial Venues</t>
        </is>
      </c>
      <c r="C19" s="40" t="inlineStr">
        <is>
          <t>Plaintiff-friendly states: California, Florida, New York, Illinois, Louisiana, Georgia. 'Judicial hellholes' per ACLE.</t>
        </is>
      </c>
      <c r="D19" s="40" t="inlineStr">
        <is>
          <t>Operating in high-litigation states = significant pricing load and market restrictions.</t>
        </is>
      </c>
      <c r="E19" s="123" t="inlineStr">
        <is>
          <t>💰 Pricing Driver</t>
        </is>
      </c>
      <c r="F19" s="124" t="inlineStr">
        <is>
          <t>Application, payroll/revenue by state, contract locations</t>
        </is>
      </c>
      <c r="G19" s="121" t="inlineStr">
        <is>
          <t>High</t>
        </is>
      </c>
      <c r="H19" s="125" t="inlineStr">
        <is>
          <t>State-level tort reform status; jury verdict trends by county; litigation finance activity by state</t>
        </is>
      </c>
      <c r="I19" s="37" t="inlineStr">
        <is>
          <t>📦 Economy.com: State-level economic data + litigation environment. 📦 Praedicat: Jurisdiction-level litigation risk scoring and social inflation metrics. 📦 [Opportunity] Moody's could layer nuclear verdict data by geography for underwriter decision support.</t>
        </is>
      </c>
    </row>
    <row r="20" ht="46" customHeight="1">
      <c r="A20" s="121" t="n"/>
      <c r="B20" s="122" t="inlineStr">
        <is>
          <t>Nuclear Verdict / Mass Tort Exposure</t>
        </is>
      </c>
      <c r="C20" s="40" t="inlineStr">
        <is>
          <t>Operations in mass tort industries: PFAS, talc, roundup, asbestos, opioids. Any connection to known mass tort = E&amp;S market.</t>
        </is>
      </c>
      <c r="D20" s="40" t="inlineStr">
        <is>
          <t>Mass tort exposure = near-automatic declination in standard markets. Dedicated specialty exclusions required.</t>
        </is>
      </c>
      <c r="E20" s="126" t="inlineStr">
        <is>
          <t>🚨 Red Flag</t>
        </is>
      </c>
      <c r="F20" s="124" t="inlineStr">
        <is>
          <t>Application, product/chemical inventory, industry watchlists</t>
        </is>
      </c>
      <c r="G20" s="121" t="inlineStr">
        <is>
          <t>High</t>
        </is>
      </c>
      <c r="H20" s="125" t="inlineStr">
        <is>
          <t>PFAS/chemical exposure screening; mass tort litigation watchlists; product ingredient analysis</t>
        </is>
      </c>
      <c r="I20" s="37" t="inlineStr">
        <is>
          <t>📦 Praedicat: PRIMARY TOOL for this. Identifies specific Litagion® agents, quantifies mass tort loss probability, models accumulation across portfolio. PFAS, talc, opioids, glyphosate, PFOA, 1,4-dioxane and 100+ more. 📦 RDC/GRID: Adverse news on company-specific mass tort exposure. 📦 Orbis: Supply chain data to detect indirect mass tort exposure.</t>
        </is>
      </c>
    </row>
    <row r="21" ht="46" customHeight="1">
      <c r="A21" s="121" t="inlineStr">
        <is>
          <t>Safety &amp; Risk Management</t>
        </is>
      </c>
      <c r="B21" s="122" t="inlineStr">
        <is>
          <t>Safety Programs &amp; Certifications</t>
        </is>
      </c>
      <c r="C21" s="40" t="inlineStr">
        <is>
          <t>OSHA 300 log. Written safety program? Safety officer in place? OSHA violation history. ISO 9001 certification.</t>
        </is>
      </c>
      <c r="D21" s="40" t="inlineStr">
        <is>
          <t>Clean OSHA record = 10–20% pricing credit. Active safety program = positive indicator.</t>
        </is>
      </c>
      <c r="E21" s="132" t="inlineStr">
        <is>
          <t>🟢 Positive</t>
        </is>
      </c>
      <c r="F21" s="124" t="inlineStr">
        <is>
          <t>OSHA records (public), application, safety certifications</t>
        </is>
      </c>
      <c r="G21" s="121" t="inlineStr">
        <is>
          <t>High</t>
        </is>
      </c>
      <c r="H21" s="125" t="inlineStr">
        <is>
          <t>OSHA violation frequency and severity vs. industry peers; EMR from workers comp</t>
        </is>
      </c>
      <c r="I21" s="37" t="inlineStr">
        <is>
          <t>📦 Cortera: DOT safety data — for transportation/logistics insureds, DOT safety scores are directly available. 📦 Orbis: ISO certification status where available. 📦 [OSHA data gap] Opportunity to integrate OSHA public records into Moody's platform.</t>
        </is>
      </c>
    </row>
    <row r="22" ht="46" customHeight="1">
      <c r="A22" s="128" t="inlineStr">
        <is>
          <t>Special Exposures</t>
        </is>
      </c>
      <c r="B22" s="129" t="inlineStr">
        <is>
          <t>Liquor Liability / Dram Shop</t>
        </is>
      </c>
      <c r="C22" s="40" t="inlineStr">
        <is>
          <t>Does insured sell, serve, or allow consumption of alcohol? Restaurants, bars, event venues, grocery stores.</t>
        </is>
      </c>
      <c r="D22" s="40" t="inlineStr">
        <is>
          <t>Liquor = excluded from standard CGL unless endorsed. Failure to disclose = coverage dispute at claims.</t>
        </is>
      </c>
      <c r="E22" s="127" t="inlineStr">
        <is>
          <t>📋 Coverage Driver</t>
        </is>
      </c>
      <c r="F22" s="124" t="inlineStr">
        <is>
          <t>Application, liquor license status, business type</t>
        </is>
      </c>
      <c r="G22" s="128" t="inlineStr">
        <is>
          <t>Medium</t>
        </is>
      </c>
      <c r="H22" s="125" t="inlineStr">
        <is>
          <t>Alcohol-related incident frequency by business type; dram shop liability by state</t>
        </is>
      </c>
      <c r="I22" s="37" t="inlineStr">
        <is>
          <t>📦 Orbis: Business type and licensing data. 📦 Economy.com: State-level regulatory environment for liquor liability.</t>
        </is>
      </c>
    </row>
    <row r="24" ht="14" customHeight="1">
      <c r="A24" s="131" t="inlineStr">
        <is>
          <t xml:space="preserve">  LEGEND: 🚨 Red Flag = Decline/Referral trigger  |  💰 Pricing Driver = Affects premium  |  ⚠️ Review Trigger = UW judgment needed  |  🟢 Positive = Favorable indicator  |  📋 Coverage Driver = Affects terms/scope  |  Column 9 (RED) = Moody's data mapped to this input</t>
        </is>
      </c>
    </row>
  </sheetData>
  <mergeCells count="18">
    <mergeCell ref="A6"/>
    <mergeCell ref="A2:I2"/>
    <mergeCell ref="F7:I7"/>
    <mergeCell ref="A5:I5"/>
    <mergeCell ref="C7"/>
    <mergeCell ref="A7"/>
    <mergeCell ref="B7"/>
    <mergeCell ref="A1:I1"/>
    <mergeCell ref="B6"/>
    <mergeCell ref="D6"/>
    <mergeCell ref="C6"/>
    <mergeCell ref="D7"/>
    <mergeCell ref="A3:I3"/>
    <mergeCell ref="E6"/>
    <mergeCell ref="E7"/>
    <mergeCell ref="A4:I4"/>
    <mergeCell ref="A24:I24"/>
    <mergeCell ref="F6:I6"/>
  </mergeCells>
  <pageMargins left="0.75" right="0.75" top="1" bottom="1" header="0.5" footer="0.5"/>
</worksheet>
</file>

<file path=xl/worksheets/sheet13.xml><?xml version="1.0" encoding="utf-8"?>
<worksheet xmlns="http://schemas.openxmlformats.org/spreadsheetml/2006/main">
  <sheetPr>
    <tabColor rgb="00702459"/>
    <outlinePr summaryBelow="1" summaryRight="1"/>
    <pageSetUpPr/>
  </sheetPr>
  <dimension ref="A1:I25"/>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40" customWidth="1" min="3" max="3"/>
    <col width="38" customWidth="1" min="4" max="4"/>
    <col width="16" customWidth="1" min="5" max="5"/>
    <col width="28" customWidth="1" min="6" max="6"/>
    <col width="13" customWidth="1" min="7" max="7"/>
    <col width="36" customWidth="1" min="8" max="8"/>
    <col width="42" customWidth="1" min="9" max="9"/>
  </cols>
  <sheetData>
    <row r="1" ht="30" customHeight="1">
      <c r="A1" s="112" t="inlineStr">
        <is>
          <t xml:space="preserve">  Excess Casualty — Umbrella &amp; Excess Liability  |  Underwriting Intelligence Framework</t>
        </is>
      </c>
    </row>
    <row r="2" ht="16" customHeight="1">
      <c r="A2" s="113" t="inlineStr">
        <is>
          <t xml:space="preserve">  Provides additional limits over primary liability policies (GL, Auto, EL). Designed for catastrophic / high-severity loss events. Where social inflation and nuclear verdicts live.</t>
        </is>
      </c>
    </row>
    <row r="3" ht="16" customHeight="1">
      <c r="A3" s="114" t="inlineStr">
        <is>
          <t xml:space="preserve">  Typical Clients: Mid-to-large commercial accounts, high-hazard industries, public companies, construction programs, multinational corporations</t>
        </is>
      </c>
    </row>
    <row r="4" ht="4" customHeight="1">
      <c r="A4" s="33" t="n"/>
    </row>
    <row r="5" ht="15" customHeight="1">
      <c r="A5" s="115" t="inlineStr">
        <is>
          <t xml:space="preserve">  UNDERWRITING PROCESS FLOW</t>
        </is>
      </c>
    </row>
    <row r="6" ht="26" customHeight="1">
      <c r="A6" s="116" t="inlineStr">
        <is>
          <t xml:space="preserve">  1. Underlying Program Review ▶</t>
        </is>
      </c>
      <c r="B6" s="117" t="inlineStr">
        <is>
          <t xml:space="preserve">  2. Loss History Deep Dive ▶</t>
        </is>
      </c>
      <c r="C6" s="116" t="inlineStr">
        <is>
          <t xml:space="preserve">  3. Industry &amp; Operations ▶</t>
        </is>
      </c>
      <c r="D6" s="117" t="inlineStr">
        <is>
          <t xml:space="preserve">  4. Attachment Point Analysis ▶</t>
        </is>
      </c>
      <c r="E6" s="116" t="inlineStr">
        <is>
          <t xml:space="preserve">  5. Limits &amp; Tower Structure ▶</t>
        </is>
      </c>
      <c r="F6" s="117" t="inlineStr">
        <is>
          <t xml:space="preserve">  6. Pricing &amp; Bind</t>
        </is>
      </c>
    </row>
    <row r="7" ht="26" customHeight="1">
      <c r="A7" s="118" t="inlineStr">
        <is>
          <t xml:space="preserve">  Primary GL, Auto, WC/EL, Products structure — limits, carriers, terms, forms</t>
        </is>
      </c>
      <c r="B7" s="118" t="inlineStr">
        <is>
          <t xml:space="preserve">  10-year loss history, large losses &gt;$250K, ALAE trend, open claims, development</t>
        </is>
      </c>
      <c r="C7" s="118" t="inlineStr">
        <is>
          <t xml:space="preserve">  Hazard classification, catastrophic loss potential, regulatory environment</t>
        </is>
      </c>
      <c r="D7" s="118" t="inlineStr">
        <is>
          <t xml:space="preserve">  Gap analysis vs. primary limits, SIR/deductible, indemnity provisions</t>
        </is>
      </c>
      <c r="E7" s="118" t="inlineStr">
        <is>
          <t xml:space="preserve">  Total limit needed, excess layer structure, quota share vs. monoline</t>
        </is>
      </c>
      <c r="F7" s="118" t="inlineStr">
        <is>
          <t xml:space="preserve">  Rate on line, loss picks, reinsurance capacity, portfolio treaty fit</t>
        </is>
      </c>
    </row>
    <row r="8" ht="5" customHeight="1"/>
    <row r="9" ht="30" customHeight="1">
      <c r="A9" s="119" t="inlineStr">
        <is>
          <t>Category</t>
        </is>
      </c>
      <c r="B9" s="119" t="inlineStr">
        <is>
          <t>Data Point / Input</t>
        </is>
      </c>
      <c r="C9" s="119" t="inlineStr">
        <is>
          <t>What Underwriters Look For</t>
        </is>
      </c>
      <c r="D9" s="119" t="inlineStr">
        <is>
          <t>How It Drives the Decision</t>
        </is>
      </c>
      <c r="E9" s="119" t="inlineStr">
        <is>
          <t>Signal</t>
        </is>
      </c>
      <c r="F9" s="119" t="inlineStr">
        <is>
          <t>Primary Data Source Today</t>
        </is>
      </c>
      <c r="G9" s="119" t="inlineStr">
        <is>
          <t>Importance</t>
        </is>
      </c>
      <c r="H9" s="119" t="inlineStr">
        <is>
          <t>Nice to Have (Current Gap)</t>
        </is>
      </c>
      <c r="I9" s="120" t="inlineStr">
        <is>
          <t>Moody's Data Opportunity</t>
        </is>
      </c>
    </row>
    <row r="10" ht="46" customHeight="1">
      <c r="A10" s="121" t="inlineStr">
        <is>
          <t>Underlying Program</t>
        </is>
      </c>
      <c r="B10" s="122" t="inlineStr">
        <is>
          <t>Primary GL Carrier &amp; Limits</t>
        </is>
      </c>
      <c r="C10" s="40" t="inlineStr">
        <is>
          <t>Quality and financial strength of primary insurer. Primary limits adequacy. AM Best A- or better?</t>
        </is>
      </c>
      <c r="D10" s="40" t="inlineStr">
        <is>
          <t>Weak primary carrier = coverage gap risk. Inadequate primary limits = excess attaches too frequently.</t>
        </is>
      </c>
      <c r="E10" s="130" t="inlineStr">
        <is>
          <t>⚠️ Review Trigger</t>
        </is>
      </c>
      <c r="F10" s="124" t="inlineStr">
        <is>
          <t>Primary policy dec page, AM Best rating</t>
        </is>
      </c>
      <c r="G10" s="121" t="inlineStr">
        <is>
          <t>High</t>
        </is>
      </c>
      <c r="H10" s="125" t="inlineStr">
        <is>
          <t>Primary carrier claim-paying history; rating trend; coverage form quality vs. ISO</t>
        </is>
      </c>
      <c r="I10" s="37" t="inlineStr">
        <is>
          <t>📦 Ratings: Moody's insurance carrier financial strength ratings — direct and implied. 📦 CreditView: Insurer financial analysis. 📦 [AM Best equivalent] Moody's ratings for insurance carriers as primary carrier quality signal.</t>
        </is>
      </c>
    </row>
    <row r="11" ht="46" customHeight="1">
      <c r="A11" s="121" t="n"/>
      <c r="B11" s="122" t="inlineStr">
        <is>
          <t>Auto Liability Underlying</t>
        </is>
      </c>
      <c r="C11" s="40" t="inlineStr">
        <is>
          <t>Commercial auto limits, fleet size, driver MVR quality, telematics, auto accident frequency.</t>
        </is>
      </c>
      <c r="D11" s="40" t="inlineStr">
        <is>
          <t>Commercial auto = #1 loss driver under umbrella programs. Fleet size and driver quality critical.</t>
        </is>
      </c>
      <c r="E11" s="126" t="inlineStr">
        <is>
          <t>🚨 Red Flag</t>
        </is>
      </c>
      <c r="F11" s="124" t="inlineStr">
        <is>
          <t>Primary auto policy, fleet schedule, MVR reports, loss runs</t>
        </is>
      </c>
      <c r="G11" s="121" t="inlineStr">
        <is>
          <t>High</t>
        </is>
      </c>
      <c r="H11" s="125" t="inlineStr">
        <is>
          <t>Fleet telematics data; MVR violation rates; auto accident frequency vs. industry benchmarks</t>
        </is>
      </c>
      <c r="I11" s="37" t="inlineStr">
        <is>
          <t>📦 Cortera: DOT safety data — FMCSA safety scores, inspection failures, violation history for fleet operators. 📦 Economy.com: Auto liability litigation environment forecasts.</t>
        </is>
      </c>
    </row>
    <row r="12" ht="46" customHeight="1">
      <c r="A12" s="121" t="n"/>
      <c r="B12" s="122" t="inlineStr">
        <is>
          <t>Employers Liability / WC Underlying</t>
        </is>
      </c>
      <c r="C12" s="40" t="inlineStr">
        <is>
          <t>EL limits ($1M/$1M/$1M standard), workers comp EMR, injury frequency by class.</t>
        </is>
      </c>
      <c r="D12" s="40" t="inlineStr">
        <is>
          <t>High EMR = latent excess exposure. Cumulative injury (occupational disease) = long-tail excess risk.</t>
        </is>
      </c>
      <c r="E12" s="123" t="inlineStr">
        <is>
          <t>💰 Pricing Driver</t>
        </is>
      </c>
      <c r="F12" s="124" t="inlineStr">
        <is>
          <t>WC policy, EMR from NCCI, loss runs</t>
        </is>
      </c>
      <c r="G12" s="121" t="inlineStr">
        <is>
          <t>High</t>
        </is>
      </c>
      <c r="H12" s="125" t="inlineStr">
        <is>
          <t>EMR trend over 5 years; cumulative injury claims by occupation; occupational disease watch industries</t>
        </is>
      </c>
      <c r="I12" s="37" t="inlineStr">
        <is>
          <t>📦 Cortera: DOT safety data for transportation exposures. 📦 Economy.com: Labor market stress and occupational injury frequency forecasts. 📦 Orbis: Industry classification to identify high-EMR sectors.</t>
        </is>
      </c>
    </row>
    <row r="13" ht="46" customHeight="1">
      <c r="A13" s="121" t="inlineStr">
        <is>
          <t>Loss History</t>
        </is>
      </c>
      <c r="B13" s="122" t="inlineStr">
        <is>
          <t>10-Year Loss History by Line</t>
        </is>
      </c>
      <c r="C13" s="40" t="inlineStr">
        <is>
          <t>All losses across all primary lines. Trend analysis. Frequency vs. severity profile. Prior-year adverse development.</t>
        </is>
      </c>
      <c r="D13" s="40" t="inlineStr">
        <is>
          <t>Adverse prior-year development = predictive of future severity. Long-tail development = key excess concern.</t>
        </is>
      </c>
      <c r="E13" s="126" t="inlineStr">
        <is>
          <t>🚨 Red Flag</t>
        </is>
      </c>
      <c r="F13" s="124" t="inlineStr">
        <is>
          <t>Comprehensive 10-year loss runs with development triangles</t>
        </is>
      </c>
      <c r="G13" s="121" t="inlineStr">
        <is>
          <t>High</t>
        </is>
      </c>
      <c r="H13" s="125" t="inlineStr">
        <is>
          <t>Loss development factor modeling; open claim reserve adequacy; IBNR estimation</t>
        </is>
      </c>
      <c r="I13" s="37" t="inlineStr">
        <is>
          <t>📦 Praedicat: Stochastic loss development modeling for casualty lines. 📦 Economy.com: Macro economic context for loss trend analysis (inflation, medical cost trends). 📦 [Actuarial benchmarking opportunity] Moody's actuarial analytics for industry LDF benchmarks.</t>
        </is>
      </c>
    </row>
    <row r="14" ht="46" customHeight="1">
      <c r="A14" s="121" t="n"/>
      <c r="B14" s="122" t="inlineStr">
        <is>
          <t>Large Losses (&gt;$250K per occurrence)</t>
        </is>
      </c>
      <c r="C14" s="40" t="inlineStr">
        <is>
          <t>Detail on each large loss: cause, claimant, reserve, status. Repetitive causes = systemic issue.</t>
        </is>
      </c>
      <c r="D14" s="40" t="inlineStr">
        <is>
          <t>2+ large losses from same cause = systemic risk = pricing load or declination.</t>
        </is>
      </c>
      <c r="E14" s="126" t="inlineStr">
        <is>
          <t>🚨 Red Flag</t>
        </is>
      </c>
      <c r="F14" s="124" t="inlineStr">
        <is>
          <t>Loss run with per-occurrence detail, claim narratives</t>
        </is>
      </c>
      <c r="G14" s="121" t="inlineStr">
        <is>
          <t>High</t>
        </is>
      </c>
      <c r="H14" s="125" t="inlineStr">
        <is>
          <t>Cause-of-loss clustering; repeat claimant analysis; large loss predictor model</t>
        </is>
      </c>
      <c r="I14" s="37" t="inlineStr">
        <is>
          <t>📦 Praedicat: Mass tort accumulation modeling — identifies if large losses are correlated with a Litagion® agent. 📦 RDC/GRID: Adverse news on plaintiff attorneys and litigation trends vs. insured's industry.</t>
        </is>
      </c>
    </row>
    <row r="15" ht="46" customHeight="1">
      <c r="A15" s="121" t="n"/>
      <c r="B15" s="122" t="inlineStr">
        <is>
          <t>ALAE Trend (Legal Defense Costs)</t>
        </is>
      </c>
      <c r="C15" s="40" t="inlineStr">
        <is>
          <t>ALAE as % of indemnity rising = litigation-heavy jurisdiction. Third-party litigation funding (TPLF) present?</t>
        </is>
      </c>
      <c r="D15" s="40" t="inlineStr">
        <is>
          <t>Rising ALAE is leading indicator of nuclear verdict exposure. Excess carriers now pricing ALAE separately.</t>
        </is>
      </c>
      <c r="E15" s="123" t="inlineStr">
        <is>
          <t>💰 Pricing Driver</t>
        </is>
      </c>
      <c r="F15" s="124" t="inlineStr">
        <is>
          <t>Loss runs with ALAE breakdown, defense counsel cost reporting</t>
        </is>
      </c>
      <c r="G15" s="121" t="inlineStr">
        <is>
          <t>High</t>
        </is>
      </c>
      <c r="H15" s="125" t="inlineStr">
        <is>
          <t>TPLF activity in jurisdiction; plaintiff attorney concentration; social inflation data</t>
        </is>
      </c>
      <c r="I15" s="37" t="inlineStr">
        <is>
          <t>📦 Praedicat: Litigation analytics + social inflation metrics by jurisdiction and industry. 📦 Economy.com: State-level inflation data including legal/medical cost inflation. 📦 RDC/GRID: Plaintiff law firm adverse news monitoring.</t>
        </is>
      </c>
    </row>
    <row r="16" ht="46" customHeight="1">
      <c r="A16" s="121" t="inlineStr">
        <is>
          <t>Hazard &amp; Operations</t>
        </is>
      </c>
      <c r="B16" s="122" t="inlineStr">
        <is>
          <t>Industry Catastrophic Loss Potential</t>
        </is>
      </c>
      <c r="C16" s="40" t="inlineStr">
        <is>
          <t>Mass casualty potential: chemical manufacturers, fire suppression contractors, aviation-adjacent, food products.</t>
        </is>
      </c>
      <c r="D16" s="40" t="inlineStr">
        <is>
          <t>Cat loss industries require dedicated modeling. Some sectors excluded from standard excess entirely.</t>
        </is>
      </c>
      <c r="E16" s="126" t="inlineStr">
        <is>
          <t>🚨 Red Flag</t>
        </is>
      </c>
      <c r="F16" s="124" t="inlineStr">
        <is>
          <t>Operations analysis, application, site inspection</t>
        </is>
      </c>
      <c r="G16" s="121" t="inlineStr">
        <is>
          <t>High</t>
        </is>
      </c>
      <c r="H16" s="125" t="inlineStr">
        <is>
          <t>Industry PML (probable maximum loss) estimates; cat event frequency by SIC code</t>
        </is>
      </c>
      <c r="I16" s="37" t="inlineStr">
        <is>
          <t>📦 Praedicat: Casualty CAT modeling — stochastic scenarios for mass tort, product liability, and operations liability events. 📦 RMS: Physical risk models for catastrophic operational events (explosion, fire, nat cat). 📦 Economy.com: Industry-level catastrophic event frequency benchmarks.</t>
        </is>
      </c>
    </row>
    <row r="17" ht="46" customHeight="1">
      <c r="A17" s="121" t="n"/>
      <c r="B17" s="122" t="inlineStr">
        <is>
          <t>Social Inflation by Jurisdiction</t>
        </is>
      </c>
      <c r="C17" s="40" t="inlineStr">
        <is>
          <t>High nuclear verdict states: FL, GA, CA, NY, IL, LA. TPLF presence. Prior jury verdict experience.</t>
        </is>
      </c>
      <c r="D17" s="40" t="inlineStr">
        <is>
          <t>Social inflation is doubling excess losses in key jurisdictions. State-by-state verdict analysis now essential.</t>
        </is>
      </c>
      <c r="E17" s="123" t="inlineStr">
        <is>
          <t>💰 Pricing Driver</t>
        </is>
      </c>
      <c r="F17" s="124" t="inlineStr">
        <is>
          <t>Application, payroll/revenue by state, prior verdict history</t>
        </is>
      </c>
      <c r="G17" s="121" t="inlineStr">
        <is>
          <t>High</t>
        </is>
      </c>
      <c r="H17" s="125" t="inlineStr">
        <is>
          <t>Nuclear verdict frequency by state/county; plaintiff attorney firm concentration; TPLF investment by geography</t>
        </is>
      </c>
      <c r="I17" s="37" t="inlineStr">
        <is>
          <t>📦 Praedicat: Leading Moody's capability here — jurisdiction-level litigation risk, social inflation metrics, TPLF data. 📦 Economy.com: State-level legal cost inflation. 📦 RDC/GRID: Monitoring of mass plaintiff law firm activity and litigation finance entities.</t>
        </is>
      </c>
    </row>
    <row r="18" ht="46" customHeight="1">
      <c r="A18" s="121" t="n"/>
      <c r="B18" s="122" t="inlineStr">
        <is>
          <t>Mass Tort / PFAS / Emerging Risk</t>
        </is>
      </c>
      <c r="C18" s="40" t="inlineStr">
        <is>
          <t>Exposure to PFAS, talc, asbestos, opioids, glyphosate. Supply chain exposure even if indirect.</t>
        </is>
      </c>
      <c r="D18" s="40" t="inlineStr">
        <is>
          <t>Mass tort = near-automatic declination or specific exclusion. Even indirect exposure being litigated.</t>
        </is>
      </c>
      <c r="E18" s="126" t="inlineStr">
        <is>
          <t>🚨 Red Flag</t>
        </is>
      </c>
      <c r="F18" s="124" t="inlineStr">
        <is>
          <t>Application, chemical inventory, product disclosure, environmental reports</t>
        </is>
      </c>
      <c r="G18" s="121" t="inlineStr">
        <is>
          <t>High</t>
        </is>
      </c>
      <c r="H18" s="125" t="inlineStr">
        <is>
          <t>PFAS contamination proximity; chemical screening; mass tort watchlist; supply chain map</t>
        </is>
      </c>
      <c r="I18" s="37" t="inlineStr">
        <is>
          <t>📦 Praedicat: THE core Moody's tool — Litagion® agent database with 100+ identified compounds. Stochastic probability of each becoming mass tort litigation. Portfolio accumulation analysis. PFAS, PFOA, 1,4-dioxane, opioids, talc, glyphosate, and emerging agents. 📦 Orbis: Supply chain data to detect indirect exposure. 📦 RDC/GRID: Adverse news on company-specific mass tort involvement.</t>
        </is>
      </c>
    </row>
    <row r="19" ht="46" customHeight="1">
      <c r="A19" s="121" t="n"/>
      <c r="B19" s="122" t="inlineStr">
        <is>
          <t>SAM (Sexual Abuse &amp; Molestation) Exposure</t>
        </is>
      </c>
      <c r="C19" s="40" t="inlineStr">
        <is>
          <t>Youth-serving orgs, schools, healthcare, religious institutions, fitness centers, hotels.</t>
        </is>
      </c>
      <c r="D19" s="40" t="inlineStr">
        <is>
          <t>SAM = major capacity constraint post-Me Too. Specialty market required. Background checks = positive signal.</t>
        </is>
      </c>
      <c r="E19" s="127" t="inlineStr">
        <is>
          <t>📋 Coverage Driver</t>
        </is>
      </c>
      <c r="F19" s="124" t="inlineStr">
        <is>
          <t>Application, organization type, background check policies</t>
        </is>
      </c>
      <c r="G19" s="121" t="inlineStr">
        <is>
          <t>High</t>
        </is>
      </c>
      <c r="H19" s="125" t="inlineStr">
        <is>
          <t>Background screening program quality; prior SAM claim history; mandatory reporter training</t>
        </is>
      </c>
      <c r="I19" s="37" t="inlineStr">
        <is>
          <t>📦 RDC/GRID: Individual background screening and adverse news — key for organizations with access to vulnerable populations. 📦 Orbis: Organization type and sector classification.</t>
        </is>
      </c>
    </row>
    <row r="20" ht="46" customHeight="1">
      <c r="A20" s="121" t="inlineStr">
        <is>
          <t>Coverage Structure</t>
        </is>
      </c>
      <c r="B20" s="122" t="inlineStr">
        <is>
          <t>Attachment Point Adequacy</t>
        </is>
      </c>
      <c r="C20" s="40" t="inlineStr">
        <is>
          <t>Is attachment point adequate for the exposure? Erosion risk — how quickly do underlying limits erode?</t>
        </is>
      </c>
      <c r="D20" s="40" t="inlineStr">
        <is>
          <t>Attachment too low = frequent excess penetration. Too high = coverage gap.</t>
        </is>
      </c>
      <c r="E20" s="127" t="inlineStr">
        <is>
          <t>📋 Coverage Driver</t>
        </is>
      </c>
      <c r="F20" s="124" t="inlineStr">
        <is>
          <t>Primary policy dec pages, SIR/deductible schedules</t>
        </is>
      </c>
      <c r="G20" s="121" t="inlineStr">
        <is>
          <t>High</t>
        </is>
      </c>
      <c r="H20" s="125" t="inlineStr">
        <is>
          <t>Attachment adequacy modeling vs. expected loss distribution; erosion frequency model</t>
        </is>
      </c>
      <c r="I20" s="37" t="inlineStr">
        <is>
          <t>📦 Praedicat: Loss distribution modeling for casualty exposures — calibrates where excess layers should attach. 📦 EDF-X: Financial distress risk that could accelerate claim frequency and attachment erosion. 📦 Economy.com: Economic stress scenarios for sensitivity testing attachment adequacy.</t>
        </is>
      </c>
    </row>
    <row r="21" ht="46" customHeight="1">
      <c r="A21" s="128" t="n"/>
      <c r="B21" s="129" t="inlineStr">
        <is>
          <t>Drop-Down Exposure</t>
        </is>
      </c>
      <c r="C21" s="40" t="inlineStr">
        <is>
          <t>If primary carrier becomes insolvent, umbrella 'drops down' to primary. State guarantee fund adequacy?</t>
        </is>
      </c>
      <c r="D21" s="40" t="inlineStr">
        <is>
          <t>Insolvent primary = excess becomes primary with no reinsurance protection.</t>
        </is>
      </c>
      <c r="E21" s="130" t="inlineStr">
        <is>
          <t>⚠️ Review Trigger</t>
        </is>
      </c>
      <c r="F21" s="124" t="inlineStr">
        <is>
          <t>Primary carrier AM Best rating, financial strength</t>
        </is>
      </c>
      <c r="G21" s="128" t="inlineStr">
        <is>
          <t>Medium</t>
        </is>
      </c>
      <c r="H21" s="125" t="inlineStr">
        <is>
          <t>Primary carrier solvency monitoring; guarantee fund limits by state; carrier stress testing</t>
        </is>
      </c>
      <c r="I21" s="37" t="inlineStr">
        <is>
          <t>📦 Ratings: Moody's insurance carrier financial strength ratings — direct early warning of primary carrier distress. 📦 EDF-X: If primary carrier is rated, EDF provides a quantitative distress signal.</t>
        </is>
      </c>
    </row>
    <row r="22" ht="46" customHeight="1">
      <c r="A22" s="128" t="n"/>
      <c r="B22" s="129" t="inlineStr">
        <is>
          <t>Total Program Limits Requested</t>
        </is>
      </c>
      <c r="C22" s="40" t="inlineStr">
        <is>
          <t>Is total limit request reasonable? Limits creep = adverse selection signal. Industry benchmark?</t>
        </is>
      </c>
      <c r="D22" s="40" t="inlineStr">
        <is>
          <t>Limits in excess of reasonable needs = adverse selection. Industry limit benchmarks critical.</t>
        </is>
      </c>
      <c r="E22" s="130" t="inlineStr">
        <is>
          <t>⚠️ Review Trigger</t>
        </is>
      </c>
      <c r="F22" s="124" t="inlineStr">
        <is>
          <t>Application, broker limits justification, contract requirements</t>
        </is>
      </c>
      <c r="G22" s="128" t="inlineStr">
        <is>
          <t>Medium</t>
        </is>
      </c>
      <c r="H22" s="125" t="inlineStr">
        <is>
          <t>Industry benchmarks for total limits by revenue/risk class; limits adequacy modeling</t>
        </is>
      </c>
      <c r="I22" s="37" t="inlineStr">
        <is>
          <t>📦 Praedicat: Limits adequacy analysis — models the realistic PML for the risk type to benchmark requested limits. 📦 Economy.com: Industry-level limits benchmarking using macro/sector data. 📦 CreditView: For rated entities, limits vs. financial scale comparison.</t>
        </is>
      </c>
    </row>
    <row r="23" ht="46" customHeight="1">
      <c r="A23" s="121" t="inlineStr">
        <is>
          <t>Reinsurance &amp; Capacity</t>
        </is>
      </c>
      <c r="B23" s="122" t="inlineStr">
        <is>
          <t>Reinsurance Treaty Compatibility</t>
        </is>
      </c>
      <c r="C23" s="40" t="inlineStr">
        <is>
          <t>Does this risk fit within the excess carrier's reinsurance treaty? Cat exclusions, industry limitations.</t>
        </is>
      </c>
      <c r="D23" s="40" t="inlineStr">
        <is>
          <t>Treaty exclusions flow down to policyholder. Outside treaty = carrier net retention = may decline.</t>
        </is>
      </c>
      <c r="E23" s="127" t="inlineStr">
        <is>
          <t>📋 Coverage Driver</t>
        </is>
      </c>
      <c r="F23" s="124" t="inlineStr">
        <is>
          <t>Internal UW guidelines, treaty terms</t>
        </is>
      </c>
      <c r="G23" s="121" t="inlineStr">
        <is>
          <t>High</t>
        </is>
      </c>
      <c r="H23" s="125" t="inlineStr">
        <is>
          <t>Reinsurance market capacity signals; industry capacity constraints by class</t>
        </is>
      </c>
      <c r="I23" s="37" t="inlineStr">
        <is>
          <t>📦 Ratings: Reinsurer financial strength ratings — understanding treaty capacity reliability. 📦 Economy.com: Reinsurance market cycle analysis. 📦 Praedicat: Portfolio accumulation to identify reinsurance treaty clash from mass tort correlation.</t>
        </is>
      </c>
    </row>
    <row r="25" ht="14" customHeight="1">
      <c r="A25" s="131" t="inlineStr">
        <is>
          <t xml:space="preserve">  LEGEND: 🚨 Red Flag = Decline/Referral trigger  |  💰 Pricing Driver = Affects premium  |  ⚠️ Review Trigger = UW judgment needed  |  🟢 Positive = Favorable indicator  |  📋 Coverage Driver = Affects terms/scope  |  Column 9 (RED) = Moody's data mapped to this input</t>
        </is>
      </c>
    </row>
  </sheetData>
  <mergeCells count="18">
    <mergeCell ref="A25:I25"/>
    <mergeCell ref="A6"/>
    <mergeCell ref="A2:I2"/>
    <mergeCell ref="F7:I7"/>
    <mergeCell ref="A5:I5"/>
    <mergeCell ref="C7"/>
    <mergeCell ref="A7"/>
    <mergeCell ref="B7"/>
    <mergeCell ref="A1:I1"/>
    <mergeCell ref="B6"/>
    <mergeCell ref="D6"/>
    <mergeCell ref="C6"/>
    <mergeCell ref="D7"/>
    <mergeCell ref="A3:I3"/>
    <mergeCell ref="E6"/>
    <mergeCell ref="E7"/>
    <mergeCell ref="A4:I4"/>
    <mergeCell ref="F6:I6"/>
  </mergeCells>
  <pageMargins left="0.75" right="0.75" top="1" bottom="1" header="0.5" footer="0.5"/>
</worksheet>
</file>

<file path=xl/worksheets/sheet14.xml><?xml version="1.0" encoding="utf-8"?>
<worksheet xmlns="http://schemas.openxmlformats.org/spreadsheetml/2006/main">
  <sheetPr>
    <tabColor rgb="001A1A2E"/>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32" customWidth="1" min="1" max="1"/>
    <col width="24" customWidth="1" min="2" max="2"/>
    <col width="24" customWidth="1" min="3" max="3"/>
    <col width="24" customWidth="1" min="4" max="4"/>
    <col width="24" customWidth="1" min="5" max="5"/>
    <col width="24" customWidth="1" min="6" max="6"/>
  </cols>
  <sheetData>
    <row r="1" ht="44" customHeight="1">
      <c r="A1" s="112" t="inlineStr">
        <is>
          <t xml:space="preserve">  Moody's Intelligent Underwriting Engine (IUE)  |  Risk Signal Model Design Specification</t>
        </is>
      </c>
    </row>
    <row r="2" ht="20" customHeight="1">
      <c r="A2" s="133" t="inlineStr">
        <is>
          <t xml:space="preserve">  Augmenting underwriting decisions with real-time risk signals across Casualty &amp; Financial Lines — not replacing judgment, accelerating it.</t>
        </is>
      </c>
    </row>
    <row r="3" ht="4" customHeight="1">
      <c r="A3" s="33" t="n"/>
    </row>
    <row r="4" ht="16" customHeight="1">
      <c r="A4" s="134" t="inlineStr">
        <is>
          <t xml:space="preserve">  THE PROBLEM WE ARE SOLVING</t>
        </is>
      </c>
    </row>
    <row r="5" ht="24" customHeight="1">
      <c r="A5" s="83" t="inlineStr">
        <is>
          <t>⏱  Time</t>
        </is>
      </c>
      <c r="B5" s="135" t="inlineStr">
        <is>
          <t>Underwriters spend 2–4 hours manually researching each submission from fragmented sources (Google, sec.gov, Dun &amp; Bradstreet, news). Most of that time is low-judgment data gathering.</t>
        </is>
      </c>
      <c r="C5" s="56" t="n"/>
      <c r="D5" s="56" t="n"/>
      <c r="E5" s="56" t="n"/>
      <c r="F5" s="57" t="n"/>
    </row>
    <row r="6" ht="24" customHeight="1">
      <c r="A6" s="83" t="inlineStr">
        <is>
          <t>📊  Data</t>
        </is>
      </c>
      <c r="B6" s="135" t="inlineStr">
        <is>
          <t>Most underwriters don't know what data exists or where. 30–40 relevant signals sit in Moody's data estate — none of it automatically surfaced at point of submission.</t>
        </is>
      </c>
      <c r="C6" s="56" t="n"/>
      <c r="D6" s="56" t="n"/>
      <c r="E6" s="56" t="n"/>
      <c r="F6" s="57" t="n"/>
    </row>
    <row r="7" ht="24" customHeight="1">
      <c r="A7" s="83" t="inlineStr">
        <is>
          <t>🎯  Triage</t>
        </is>
      </c>
      <c r="B7" s="135" t="inlineStr">
        <is>
          <t>80% of submissions follow predictable patterns. Only 20% require deep human judgment. Current process applies the same 3-hour effort to every submission regardless of complexity.</t>
        </is>
      </c>
      <c r="C7" s="56" t="n"/>
      <c r="D7" s="56" t="n"/>
      <c r="E7" s="56" t="n"/>
      <c r="F7" s="57" t="n"/>
    </row>
    <row r="8" ht="24" customHeight="1">
      <c r="A8" s="83" t="inlineStr">
        <is>
          <t>📉  Loss</t>
        </is>
      </c>
      <c r="B8" s="135" t="inlineStr">
        <is>
          <t>Social inflation drove US$43B in cumulative casualty losses (2019–2023). Nuclear verdicts up 116% in 2024. Underwriters lack the real-time signals to price for this accurately.</t>
        </is>
      </c>
      <c r="C8" s="56" t="n"/>
      <c r="D8" s="56" t="n"/>
      <c r="E8" s="56" t="n"/>
      <c r="F8" s="57" t="n"/>
    </row>
    <row r="9" ht="24" customHeight="1">
      <c r="A9" s="83" t="inlineStr">
        <is>
          <t>🔄  Feedback</t>
        </is>
      </c>
      <c r="B9" s="135" t="inlineStr">
        <is>
          <t>No closed loop. Underwriters make decisions but rarely see what happened to that risk 3 years later. Data-driven learning is impossible without structured signal capture.</t>
        </is>
      </c>
      <c r="C9" s="56" t="n"/>
      <c r="D9" s="56" t="n"/>
      <c r="E9" s="56" t="n"/>
      <c r="F9" s="57" t="n"/>
    </row>
    <row r="11" ht="6" customHeight="1"/>
    <row r="12" ht="16" customHeight="1">
      <c r="A12" s="136" t="inlineStr">
        <is>
          <t xml:space="preserve">  THE SOLUTION — INTELLIGENT UNDERWRITING ENGINE (IUE)</t>
        </is>
      </c>
    </row>
    <row r="13" ht="56" customHeight="1">
      <c r="A13" s="137" t="inlineStr">
        <is>
          <t>A real-time risk signal engine that fires the moment a submission enters the system. It automatically enriches the submission with 30–40 risk signals from Moody's data estate — EDF-X credit risk, Cortera trade payment data, Orbis corporate intelligence, RDC/GRID sanctions/adverse news, BitSight cyber scores, Praedicat mass tort screening, Economy.com macro context — and scores them against a LOB-specific weighted model to produce a composite risk score (0–100) and a RAG signal. 
This is NOT a decision model. It is a triage and augmentation tool. The underwriter always decides. The model cuts research time by 70–80%, surfaces data the underwriter would never have found manually, and routes submissions to the right level of review — eliminating low-value time and concentrating human judgment where it matters most.</t>
        </is>
      </c>
      <c r="B13" s="56" t="n"/>
      <c r="C13" s="56" t="n"/>
      <c r="D13" s="56" t="n"/>
      <c r="E13" s="56" t="n"/>
      <c r="F13" s="57" t="n"/>
    </row>
    <row r="14" ht="6" customHeight="1"/>
    <row r="15" ht="16" customHeight="1">
      <c r="A15" s="134" t="inlineStr">
        <is>
          <t xml:space="preserve">  CORE DESIGN PRINCIPLES</t>
        </is>
      </c>
    </row>
    <row r="16" ht="26" customHeight="1">
      <c r="A16" s="138" t="inlineStr">
        <is>
          <t>1  Explainability First</t>
        </is>
      </c>
      <c r="B16" s="135" t="inlineStr">
        <is>
          <t>Every score component is visible to the underwriter. SHAP-style attribution shows which signals drove the score. Aligned with NAIC AI governance adopted in 24 states.</t>
        </is>
      </c>
      <c r="C16" s="56" t="n"/>
      <c r="D16" s="56" t="n"/>
      <c r="E16" s="56" t="n"/>
      <c r="F16" s="57" t="n"/>
    </row>
    <row r="17" ht="26" customHeight="1">
      <c r="A17" s="138" t="inlineStr">
        <is>
          <t>2  Signal, Not Decision</t>
        </is>
      </c>
      <c r="B17" s="135" t="inlineStr">
        <is>
          <t>The model recommends. The underwriter decides. No auto-decline without human sign-off. Compliant with NAIC AI Systems guidance and state filing requirements.</t>
        </is>
      </c>
      <c r="C17" s="56" t="n"/>
      <c r="D17" s="56" t="n"/>
      <c r="E17" s="56" t="n"/>
      <c r="F17" s="57" t="n"/>
    </row>
    <row r="18" ht="26" customHeight="1">
      <c r="A18" s="138" t="inlineStr">
        <is>
          <t>3  LOB-Specific Calibration</t>
        </is>
      </c>
      <c r="B18" s="135" t="inlineStr">
        <is>
          <t>D&amp;O risk drivers ≠ GL risk drivers ≠ Surety. Each LOB has its own dimension architecture, feature weights, and red-line rules — calibrated independently.</t>
        </is>
      </c>
      <c r="C18" s="56" t="n"/>
      <c r="D18" s="56" t="n"/>
      <c r="E18" s="56" t="n"/>
      <c r="F18" s="57" t="n"/>
    </row>
    <row r="19" ht="26" customHeight="1">
      <c r="A19" s="138" t="inlineStr">
        <is>
          <t>4  External Data &gt; Disclosed</t>
        </is>
      </c>
      <c r="B19" s="135" t="inlineStr">
        <is>
          <t>Moody's external data (EDF-X, Orbis, Cortera, BitSight, Praedicat) cannot be gamed by brokers. It's objective and continuous — not reliant on application self-reporting.</t>
        </is>
      </c>
      <c r="C19" s="56" t="n"/>
      <c r="D19" s="56" t="n"/>
      <c r="E19" s="56" t="n"/>
      <c r="F19" s="57" t="n"/>
    </row>
    <row r="20" ht="26" customHeight="1">
      <c r="A20" s="138" t="inlineStr">
        <is>
          <t>5  Scorecard Now, ML Later</t>
        </is>
      </c>
      <c r="B20" s="135" t="inlineStr">
        <is>
          <t>Phase 1 deploys a weighted expert scorecard immediately — no historical claims data needed. Phase 2 recalibrates weights using XGBoost trained on claims outcomes.</t>
        </is>
      </c>
      <c r="C20" s="56" t="n"/>
      <c r="D20" s="56" t="n"/>
      <c r="E20" s="56" t="n"/>
      <c r="F20" s="57" t="n"/>
    </row>
    <row r="21" ht="26" customHeight="1">
      <c r="A21" s="138" t="inlineStr">
        <is>
          <t>6  Closed-Loop Learning</t>
        </is>
      </c>
      <c r="B21" s="135" t="inlineStr">
        <is>
          <t>Every claim outcome feeds back into model calibration. The model improves over time. 3–5 years of claims data unlocks a full ML-trained predictive model.</t>
        </is>
      </c>
      <c r="C21" s="56" t="n"/>
      <c r="D21" s="56" t="n"/>
      <c r="E21" s="56" t="n"/>
      <c r="F21" s="57" t="n"/>
    </row>
    <row r="23" ht="6" customHeight="1"/>
    <row r="24" ht="16" customHeight="1">
      <c r="A24" s="139" t="inlineStr">
        <is>
          <t xml:space="preserve">  WORKFLOW TRANSFORMATION — BEFORE vs. AFTER</t>
        </is>
      </c>
    </row>
    <row r="25" ht="20" customHeight="1">
      <c r="A25" s="48" t="inlineStr">
        <is>
          <t>Step</t>
        </is>
      </c>
      <c r="B25" s="48" t="inlineStr">
        <is>
          <t>BEFORE (Current State)</t>
        </is>
      </c>
      <c r="C25" s="48" t="inlineStr">
        <is>
          <t>Time</t>
        </is>
      </c>
      <c r="D25" s="48" t="inlineStr">
        <is>
          <t>AFTER (With IUE)</t>
        </is>
      </c>
      <c r="E25" s="48" t="inlineStr">
        <is>
          <t>Time</t>
        </is>
      </c>
      <c r="F25" s="48" t="inlineStr">
        <is>
          <t>Savings</t>
        </is>
      </c>
    </row>
    <row r="26" ht="34" customHeight="1">
      <c r="A26" s="140" t="inlineStr">
        <is>
          <t>Submission Receipt</t>
        </is>
      </c>
      <c r="B26" s="36" t="inlineStr">
        <is>
          <t>Email/fax arrives, manually sorted into queue</t>
        </is>
      </c>
      <c r="C26" s="36" t="inlineStr">
        <is>
          <t>30 min</t>
        </is>
      </c>
      <c r="D26" s="36" t="inlineStr">
        <is>
          <t>Auto-enrichment fires on ingestion — Orbis entity match + all signals pulled</t>
        </is>
      </c>
      <c r="E26" s="141" t="inlineStr">
        <is>
          <t>90 sec</t>
        </is>
      </c>
      <c r="F26" s="142" t="inlineStr">
        <is>
          <t>29 min</t>
        </is>
      </c>
    </row>
    <row r="27" ht="34" customHeight="1">
      <c r="A27" s="143" t="inlineStr">
        <is>
          <t>Initial Triage</t>
        </is>
      </c>
      <c r="B27" s="40" t="inlineStr">
        <is>
          <t>Underwriter opens file, decides if worth quoting</t>
        </is>
      </c>
      <c r="C27" s="40" t="inlineStr">
        <is>
          <t>45 min</t>
        </is>
      </c>
      <c r="D27" s="40" t="inlineStr">
        <is>
          <t>Risk Signal card ready — score + top 5 concerns + red-line flags visible</t>
        </is>
      </c>
      <c r="E27" s="141" t="inlineStr">
        <is>
          <t>5 min</t>
        </is>
      </c>
      <c r="F27" s="142" t="inlineStr">
        <is>
          <t>40 min</t>
        </is>
      </c>
    </row>
    <row r="28" ht="34" customHeight="1">
      <c r="A28" s="140" t="inlineStr">
        <is>
          <t>Research / Enrichment</t>
        </is>
      </c>
      <c r="B28" s="36" t="inlineStr">
        <is>
          <t>Manual: Google, SEC.gov, Dun &amp; Bradstreet, news</t>
        </is>
      </c>
      <c r="C28" s="36" t="inlineStr">
        <is>
          <t>90 min</t>
        </is>
      </c>
      <c r="D28" s="36" t="inlineStr">
        <is>
          <t>Auto-populated: EDF-X, Cortera, RDC/GRID, BitSight, Praedicat, Economy.com</t>
        </is>
      </c>
      <c r="E28" s="141" t="inlineStr">
        <is>
          <t>0 min</t>
        </is>
      </c>
      <c r="F28" s="142" t="inlineStr">
        <is>
          <t>90 min</t>
        </is>
      </c>
    </row>
    <row r="29" ht="34" customHeight="1">
      <c r="A29" s="143" t="inlineStr">
        <is>
          <t>GREEN accounts (30%)</t>
        </is>
      </c>
      <c r="B29" s="40" t="inlineStr">
        <is>
          <t>Same 3hr process applied regardless of risk quality</t>
        </is>
      </c>
      <c r="C29" s="40" t="inlineStr">
        <is>
          <t>180 min</t>
        </is>
      </c>
      <c r="D29" s="40" t="inlineStr">
        <is>
          <t>Straight-through quote generation, UW reviews and binds</t>
        </is>
      </c>
      <c r="E29" s="141" t="inlineStr">
        <is>
          <t>20 min</t>
        </is>
      </c>
      <c r="F29" s="142" t="inlineStr">
        <is>
          <t>160 min</t>
        </is>
      </c>
    </row>
    <row r="30" ht="34" customHeight="1">
      <c r="A30" s="140" t="inlineStr">
        <is>
          <t>YELLOW accounts (50%)</t>
        </is>
      </c>
      <c r="B30" s="36" t="inlineStr">
        <is>
          <t>Full manual research + review + quote</t>
        </is>
      </c>
      <c r="C30" s="36" t="inlineStr">
        <is>
          <t>180 min</t>
        </is>
      </c>
      <c r="D30" s="36" t="inlineStr">
        <is>
          <t>UW reviews pre-populated risk profile, focuses only on flagged signals</t>
        </is>
      </c>
      <c r="E30" s="141" t="inlineStr">
        <is>
          <t>45 min</t>
        </is>
      </c>
      <c r="F30" s="142" t="inlineStr">
        <is>
          <t>135 min</t>
        </is>
      </c>
    </row>
    <row r="31" ht="34" customHeight="1">
      <c r="A31" s="143" t="inlineStr">
        <is>
          <t>RED/BLACK accounts (20%)</t>
        </is>
      </c>
      <c r="B31" s="40" t="inlineStr">
        <is>
          <t>Full research then decline — high cost, no premium</t>
        </is>
      </c>
      <c r="C31" s="40" t="inlineStr">
        <is>
          <t>180 min</t>
        </is>
      </c>
      <c r="D31" s="40" t="inlineStr">
        <is>
          <t>Auto-identified at submission, decline with reason codes in minutes</t>
        </is>
      </c>
      <c r="E31" s="141" t="inlineStr">
        <is>
          <t>10 min</t>
        </is>
      </c>
      <c r="F31" s="142" t="inlineStr">
        <is>
          <t>170 min</t>
        </is>
      </c>
    </row>
    <row r="32" ht="34" customHeight="1">
      <c r="A32" s="140" t="inlineStr">
        <is>
          <t>Portfolio Analytics</t>
        </is>
      </c>
      <c r="B32" s="36" t="inlineStr">
        <is>
          <t>Ad hoc — not systematically tracked</t>
        </is>
      </c>
      <c r="C32" s="36" t="inlineStr">
        <is>
          <t>N/A</t>
        </is>
      </c>
      <c r="D32" s="36" t="inlineStr">
        <is>
          <t>Every submission scored and stored — portfolio concentration + risk trend analytics</t>
        </is>
      </c>
      <c r="E32" s="141" t="inlineStr">
        <is>
          <t>Ongoing</t>
        </is>
      </c>
      <c r="F32" s="142" t="inlineStr">
        <is>
          <t>New capability</t>
        </is>
      </c>
    </row>
    <row r="34" ht="6" customHeight="1"/>
    <row r="35" ht="16" customHeight="1">
      <c r="A35" s="134" t="inlineStr">
        <is>
          <t xml:space="preserve">  RISK SIGNAL THRESHOLDS — CALIBRATION FRAMEWORK</t>
        </is>
      </c>
    </row>
    <row r="36" ht="20" customHeight="1">
      <c r="A36" s="48" t="inlineStr">
        <is>
          <t>Signal</t>
        </is>
      </c>
      <c r="B36" s="48" t="inlineStr">
        <is>
          <t>Score Range</t>
        </is>
      </c>
      <c r="C36" s="48" t="inlineStr">
        <is>
          <t>Interpretation</t>
        </is>
      </c>
      <c r="D36" s="48" t="inlineStr">
        <is>
          <t>Workflow Action</t>
        </is>
      </c>
      <c r="E36" s="48" t="inlineStr">
        <is>
          <t>STP Eligible?</t>
        </is>
      </c>
      <c r="F36" s="48" t="inlineStr">
        <is>
          <t>Stat: Target % of Portfolio</t>
        </is>
      </c>
    </row>
    <row r="37" ht="32" customHeight="1">
      <c r="A37" s="144" t="inlineStr">
        <is>
          <t>🟢 GREEN</t>
        </is>
      </c>
      <c r="B37" s="145" t="inlineStr">
        <is>
          <t>0 – 35</t>
        </is>
      </c>
      <c r="C37" s="145" t="inlineStr">
        <is>
          <t>Low risk. All key signals favorable. No red lines.</t>
        </is>
      </c>
      <c r="D37" s="145" t="inlineStr">
        <is>
          <t>Fast-track: auto-generate quote indication. UW review in &lt;20 min.</t>
        </is>
      </c>
      <c r="E37" s="145" t="inlineStr">
        <is>
          <t>Yes — with confidence threshold</t>
        </is>
      </c>
      <c r="F37" s="145" t="inlineStr">
        <is>
          <t>25–35%</t>
        </is>
      </c>
    </row>
    <row r="38" ht="32" customHeight="1">
      <c r="A38" s="146" t="inlineStr">
        <is>
          <t>🟡 YELLOW</t>
        </is>
      </c>
      <c r="B38" s="147" t="inlineStr">
        <is>
          <t>36 – 60</t>
        </is>
      </c>
      <c r="C38" s="147" t="inlineStr">
        <is>
          <t>Moderate risk. Some elevated signals. No hard red lines.</t>
        </is>
      </c>
      <c r="D38" s="147" t="inlineStr">
        <is>
          <t>Standard UW review. Pre-populated profile. Focus on flagged items only.</t>
        </is>
      </c>
      <c r="E38" s="147" t="inlineStr">
        <is>
          <t>Partial — with mandatory UW sign-off</t>
        </is>
      </c>
      <c r="F38" s="147" t="inlineStr">
        <is>
          <t>40–50%</t>
        </is>
      </c>
    </row>
    <row r="39" ht="32" customHeight="1">
      <c r="A39" s="148" t="inlineStr">
        <is>
          <t>🔴 RED</t>
        </is>
      </c>
      <c r="B39" s="149" t="inlineStr">
        <is>
          <t>61 – 80</t>
        </is>
      </c>
      <c r="C39" s="149" t="inlineStr">
        <is>
          <t>High risk. Multiple elevated signals or near-red-line conditions.</t>
        </is>
      </c>
      <c r="D39" s="149" t="inlineStr">
        <is>
          <t>Senior UW or specialty team. May require additional information request.</t>
        </is>
      </c>
      <c r="E39" s="149" t="inlineStr">
        <is>
          <t>No</t>
        </is>
      </c>
      <c r="F39" s="149" t="inlineStr">
        <is>
          <t>15–20%</t>
        </is>
      </c>
    </row>
    <row r="40" ht="32" customHeight="1">
      <c r="A40" s="150" t="inlineStr">
        <is>
          <t>⛔ BLACK</t>
        </is>
      </c>
      <c r="B40" s="151" t="inlineStr">
        <is>
          <t>81–100</t>
        </is>
      </c>
      <c r="C40" s="151" t="inlineStr">
        <is>
          <t>Red line triggered or extreme risk profile. Unacceptable exposure.</t>
        </is>
      </c>
      <c r="D40" s="151" t="inlineStr">
        <is>
          <t>Immediate decline. Reason codes auto-generated. Referral to E&amp;S market.</t>
        </is>
      </c>
      <c r="E40" s="151" t="inlineStr">
        <is>
          <t>No — decline auto-generated</t>
        </is>
      </c>
      <c r="F40" s="151" t="inlineStr">
        <is>
          <t>5–10%</t>
        </is>
      </c>
    </row>
    <row r="42" ht="6" customHeight="1"/>
    <row r="43" ht="16" customHeight="1">
      <c r="A43" s="136" t="inlineStr">
        <is>
          <t xml:space="preserve">  AUTO-ENRICHMENT ENGINE — API CALL SEQUENCE ON SUBMISSION RECEIPT</t>
        </is>
      </c>
    </row>
    <row r="44" ht="20" customHeight="1">
      <c r="A44" s="48" t="inlineStr">
        <is>
          <t>Step</t>
        </is>
      </c>
      <c r="B44" s="48" t="inlineStr">
        <is>
          <t>Data Product</t>
        </is>
      </c>
      <c r="C44" s="48" t="inlineStr">
        <is>
          <t>What Is Pulled</t>
        </is>
      </c>
      <c r="D44" s="48" t="inlineStr">
        <is>
          <t>Time</t>
        </is>
      </c>
      <c r="E44" s="48" t="inlineStr">
        <is>
          <t>LOBs</t>
        </is>
      </c>
      <c r="F44" s="48" t="inlineStr">
        <is>
          <t>Output Feature(s)</t>
        </is>
      </c>
    </row>
    <row r="45" ht="30" customHeight="1">
      <c r="A45" s="152" t="inlineStr">
        <is>
          <t>1</t>
        </is>
      </c>
      <c r="B45" s="36" t="inlineStr">
        <is>
          <t>Orbis (BvD)</t>
        </is>
      </c>
      <c r="C45" s="36" t="inlineStr">
        <is>
          <t>Entity match → BvD ID. Financials (3yr), ownership tree, UBO, M&amp;A history, directors, SIC/NAICS, geo footprint</t>
        </is>
      </c>
      <c r="D45" s="36" t="inlineStr">
        <is>
          <t>5–15s</t>
        </is>
      </c>
      <c r="E45" s="36" t="inlineStr">
        <is>
          <t>All</t>
        </is>
      </c>
      <c r="F45" s="36" t="inlineStr">
        <is>
          <t>Entity ID, revenue, leverage, ownership chain, director names</t>
        </is>
      </c>
    </row>
    <row r="46" ht="30" customHeight="1">
      <c r="A46" s="153" t="inlineStr">
        <is>
          <t>2</t>
        </is>
      </c>
      <c r="B46" s="40" t="inlineStr">
        <is>
          <t>EDF-X</t>
        </is>
      </c>
      <c r="C46" s="40" t="inlineStr">
        <is>
          <t>PD score (public or private model), implied rating, early warning signal flag, payment model score</t>
        </is>
      </c>
      <c r="D46" s="40" t="inlineStr">
        <is>
          <t>3–8s</t>
        </is>
      </c>
      <c r="E46" s="40" t="inlineStr">
        <is>
          <t>All</t>
        </is>
      </c>
      <c r="F46" s="40" t="inlineStr">
        <is>
          <t>PD%, implied rating, EWS flag, leverage quartile</t>
        </is>
      </c>
    </row>
    <row r="47" ht="30" customHeight="1">
      <c r="A47" s="152" t="inlineStr">
        <is>
          <t>3</t>
        </is>
      </c>
      <c r="B47" s="36" t="inlineStr">
        <is>
          <t>Cortera</t>
        </is>
      </c>
      <c r="C47" s="36" t="inlineStr">
        <is>
          <t>CPR credit risk score, trade payment history, delinquency score, tax liens, civil judgments, UCC filings, DOT data</t>
        </is>
      </c>
      <c r="D47" s="36" t="inlineStr">
        <is>
          <t>3–8s</t>
        </is>
      </c>
      <c r="E47" s="36" t="inlineStr">
        <is>
          <t>Surety, GL, Trade Credit, E&amp;O</t>
        </is>
      </c>
      <c r="F47" s="36" t="inlineStr">
        <is>
          <t>CPR score, DBT, lien count, UCC count, DOT safety score</t>
        </is>
      </c>
    </row>
    <row r="48" ht="30" customHeight="1">
      <c r="A48" s="153" t="inlineStr">
        <is>
          <t>4</t>
        </is>
      </c>
      <c r="B48" s="40" t="inlineStr">
        <is>
          <t>RDC/GRID</t>
        </is>
      </c>
      <c r="C48" s="40" t="inlineStr">
        <is>
          <t>Sanctions screen (entity + UBOs + key execs), PEP check, adverse media score, regulatory enforcement actions</t>
        </is>
      </c>
      <c r="D48" s="40" t="inlineStr">
        <is>
          <t>5–10s</t>
        </is>
      </c>
      <c r="E48" s="40" t="inlineStr">
        <is>
          <t>All</t>
        </is>
      </c>
      <c r="F48" s="40" t="inlineStr">
        <is>
          <t>Sanctions hit Y/N, PEP flag, adverse news tier, regulatory events</t>
        </is>
      </c>
    </row>
    <row r="49" ht="30" customHeight="1">
      <c r="A49" s="152" t="inlineStr">
        <is>
          <t>5</t>
        </is>
      </c>
      <c r="B49" s="36" t="inlineStr">
        <is>
          <t>BitSight</t>
        </is>
      </c>
      <c r="C49" s="36" t="inlineStr">
        <is>
          <t>Cyber risk score, external attack surface grade, vulnerability exposure, privacy risk score</t>
        </is>
      </c>
      <c r="D49" s="36" t="inlineStr">
        <is>
          <t>2–5s</t>
        </is>
      </c>
      <c r="E49" s="36" t="inlineStr">
        <is>
          <t>D&amp;O, E&amp;O (Tech), Excess</t>
        </is>
      </c>
      <c r="F49" s="36" t="inlineStr">
        <is>
          <t>Cyber score 0–900, grade A–F, critical finding count</t>
        </is>
      </c>
    </row>
    <row r="50" ht="30" customHeight="1">
      <c r="A50" s="153" t="inlineStr">
        <is>
          <t>6</t>
        </is>
      </c>
      <c r="B50" s="40" t="inlineStr">
        <is>
          <t>Praedicat</t>
        </is>
      </c>
      <c r="C50" s="40" t="inlineStr">
        <is>
          <t>Litagion® agent screen on NAICS/SIC + product profile, mass tort exposure probability, accumulation flag</t>
        </is>
      </c>
      <c r="D50" s="40" t="inlineStr">
        <is>
          <t>3–8s</t>
        </is>
      </c>
      <c r="E50" s="40" t="inlineStr">
        <is>
          <t>GL, Excess Casualty</t>
        </is>
      </c>
      <c r="F50" s="40" t="inlineStr">
        <is>
          <t>Litagion exposure Y/N, agent names, mass tort probability tier</t>
        </is>
      </c>
    </row>
    <row r="51" ht="30" customHeight="1">
      <c r="A51" s="152" t="inlineStr">
        <is>
          <t>7</t>
        </is>
      </c>
      <c r="B51" s="36" t="inlineStr">
        <is>
          <t>Economy.com</t>
        </is>
      </c>
      <c r="C51" s="36" t="inlineStr">
        <is>
          <t>Sector stress index (LOB-relevant), country risk score (if Trade Credit), macro scenario tag</t>
        </is>
      </c>
      <c r="D51" s="36" t="inlineStr">
        <is>
          <t>2–5s</t>
        </is>
      </c>
      <c r="E51" s="36" t="inlineStr">
        <is>
          <t>Trade Credit, GL, Excess</t>
        </is>
      </c>
      <c r="F51" s="36" t="inlineStr">
        <is>
          <t>Sector stress 1–10, country risk tier, cycle position</t>
        </is>
      </c>
    </row>
    <row r="52" ht="30" customHeight="1">
      <c r="A52" s="153" t="inlineStr">
        <is>
          <t>8</t>
        </is>
      </c>
      <c r="B52" s="40" t="inlineStr">
        <is>
          <t>Ratings</t>
        </is>
      </c>
      <c r="C52" s="40" t="inlineStr">
        <is>
          <t>Direct Moody's rating lookup (if rated entity), outlook, watch status, rating migration (1yr, 3yr)</t>
        </is>
      </c>
      <c r="D52" s="40" t="inlineStr">
        <is>
          <t>1–3s</t>
        </is>
      </c>
      <c r="E52" s="40" t="inlineStr">
        <is>
          <t>D&amp;O, Trade Credit, Surety</t>
        </is>
      </c>
      <c r="F52" s="40" t="inlineStr">
        <is>
          <t>Rating, outlook, migration direction</t>
        </is>
      </c>
    </row>
    <row r="53" ht="30" customHeight="1">
      <c r="A53" s="152" t="inlineStr">
        <is>
          <t>9</t>
        </is>
      </c>
      <c r="B53" s="36" t="inlineStr">
        <is>
          <t>D&amp;O Data</t>
        </is>
      </c>
      <c r="C53" s="36" t="inlineStr">
        <is>
          <t>Board composition %, director tenure, committee roles, exec profiles, interlocking directorships</t>
        </is>
      </c>
      <c r="D53" s="36" t="inlineStr">
        <is>
          <t>3–8s</t>
        </is>
      </c>
      <c r="E53" s="36" t="inlineStr">
        <is>
          <t>D&amp;O, E&amp;O, Surety</t>
        </is>
      </c>
      <c r="F53" s="36" t="inlineStr">
        <is>
          <t>Board ind. %, audit committee quality score, exec depth</t>
        </is>
      </c>
    </row>
    <row r="54" ht="30" customHeight="1">
      <c r="A54" s="153" t="inlineStr">
        <is>
          <t>10</t>
        </is>
      </c>
      <c r="B54" s="40" t="inlineStr">
        <is>
          <t>CRE Data</t>
        </is>
      </c>
      <c r="C54" s="40" t="inlineStr">
        <is>
          <t>For real estate-exposed risks: property market, cap rates, vacancy by submarket</t>
        </is>
      </c>
      <c r="D54" s="40" t="inlineStr">
        <is>
          <t>2–5s</t>
        </is>
      </c>
      <c r="E54" s="40" t="inlineStr">
        <is>
          <t>Surety (real estate), GL (premises)</t>
        </is>
      </c>
      <c r="F54" s="40" t="inlineStr">
        <is>
          <t>Submarket stress tier, cap rate trend</t>
        </is>
      </c>
    </row>
    <row r="56" ht="16" customHeight="1">
      <c r="A56" s="154" t="inlineStr">
        <is>
          <t xml:space="preserve">  ⏱  Total enrichment time: target &lt; 90 seconds from submission receipt to risk signal. All calls run in parallel where data dependencies allow.</t>
        </is>
      </c>
    </row>
  </sheetData>
  <mergeCells count="22">
    <mergeCell ref="B7:F7"/>
    <mergeCell ref="B16:F16"/>
    <mergeCell ref="A56:F56"/>
    <mergeCell ref="A12:F12"/>
    <mergeCell ref="A3:F3"/>
    <mergeCell ref="B18:F18"/>
    <mergeCell ref="B21:F21"/>
    <mergeCell ref="A2:F2"/>
    <mergeCell ref="A35:F35"/>
    <mergeCell ref="A4:F4"/>
    <mergeCell ref="B8:F8"/>
    <mergeCell ref="B17:F17"/>
    <mergeCell ref="A43:F43"/>
    <mergeCell ref="A13:F13"/>
    <mergeCell ref="B19:F19"/>
    <mergeCell ref="B9:F9"/>
    <mergeCell ref="A15:F15"/>
    <mergeCell ref="A24:F24"/>
    <mergeCell ref="B6:F6"/>
    <mergeCell ref="B20:F20"/>
    <mergeCell ref="A1:F1"/>
    <mergeCell ref="B5:F5"/>
  </mergeCells>
  <pageMargins left="0.75" right="0.75" top="1" bottom="1" header="0.5" footer="0.5"/>
</worksheet>
</file>

<file path=xl/worksheets/sheet15.xml><?xml version="1.0" encoding="utf-8"?>
<worksheet xmlns="http://schemas.openxmlformats.org/spreadsheetml/2006/main">
  <sheetPr>
    <tabColor rgb="002C5282"/>
    <outlinePr summaryBelow="1" summaryRight="1"/>
    <pageSetUpPr/>
  </sheetPr>
  <dimension ref="A1:I74"/>
  <sheetViews>
    <sheetView showGridLines="0" workbookViewId="0">
      <pane ySplit="9" topLeftCell="A10" activePane="bottomLeft" state="frozen"/>
      <selection pane="bottomLeft" activeCell="A1" sqref="A1"/>
    </sheetView>
  </sheetViews>
  <sheetFormatPr baseColWidth="8" defaultRowHeight="15"/>
  <cols>
    <col width="20" customWidth="1" min="1" max="1"/>
    <col width="10" customWidth="1" min="2" max="2"/>
    <col width="28" customWidth="1" min="3" max="3"/>
    <col width="26" customWidth="1" min="4" max="4"/>
    <col width="38" customWidth="1" min="5" max="5"/>
    <col width="28" customWidth="1" min="6" max="6"/>
    <col width="28" customWidth="1" min="7" max="7"/>
    <col width="28" customWidth="1" min="8" max="8"/>
    <col width="14" customWidth="1" min="9" max="9"/>
  </cols>
  <sheetData>
    <row r="1" ht="40" customHeight="1">
      <c r="A1" s="94" t="inlineStr">
        <is>
          <t xml:space="preserve">  Directors &amp; Officers Liability Risk Signal Model  |  Risk Signal Model</t>
        </is>
      </c>
    </row>
    <row r="2" ht="16" customHeight="1">
      <c r="A2" s="155" t="inlineStr">
        <is>
          <t xml:space="preserve">  Risk signal augmenting D&amp;O underwriting — triggered on submission, enriched from Moody's data estate</t>
        </is>
      </c>
    </row>
    <row r="3" ht="14" customHeight="1">
      <c r="A3" s="134" t="inlineStr">
        <is>
          <t xml:space="preserve">  Typical clients: Public companies, PE-backed firms, private companies, non-profits, SPACs, IPO candidates</t>
        </is>
      </c>
    </row>
    <row r="4" ht="4" customHeight="1">
      <c r="A4" s="33" t="n"/>
    </row>
    <row r="5" ht="14" customHeight="1">
      <c r="A5" s="115" t="inlineStr">
        <is>
          <t xml:space="preserve">  AUTO-ENRICHMENT → SCORING → SIGNAL FLOW</t>
        </is>
      </c>
    </row>
    <row r="6" ht="24" customHeight="1">
      <c r="A6" s="116" t="inlineStr">
        <is>
          <t xml:space="preserve">  1. Submission Received  ▶</t>
        </is>
      </c>
      <c r="B6" s="117" t="inlineStr">
        <is>
          <t xml:space="preserve">  2. Auto-Enrich  ▶</t>
        </is>
      </c>
      <c r="C6" s="116" t="inlineStr">
        <is>
          <t xml:space="preserve">  3. Score 7 Dimensions  ▶</t>
        </is>
      </c>
      <c r="D6" s="117" t="inlineStr">
        <is>
          <t xml:space="preserve">  4. Red Line Check  ▶</t>
        </is>
      </c>
      <c r="E6" s="116" t="inlineStr">
        <is>
          <t xml:space="preserve">  5. Signal Generated  ▶</t>
        </is>
      </c>
      <c r="F6" s="117" t="inlineStr">
        <is>
          <t xml:space="preserve">  6. UW Reviews</t>
        </is>
      </c>
    </row>
    <row r="7" ht="24" customHeight="1">
      <c r="A7" s="118" t="inlineStr">
        <is>
          <t xml:space="preserve">  Entity name + revenue + coverage type + limits</t>
        </is>
      </c>
      <c r="B7" s="118" t="inlineStr">
        <is>
          <t xml:space="preserve">  Orbis + EDF-X + RDC/GRID + BitSight + D&amp;O Data in &lt;90 sec</t>
        </is>
      </c>
      <c r="C7" s="118" t="inlineStr">
        <is>
          <t xml:space="preserve">  Weighted model produces composite 0–100 score</t>
        </is>
      </c>
      <c r="D7" s="118" t="inlineStr">
        <is>
          <t xml:space="preserve">  Any of 6 hard rules triggered → override to BLACK</t>
        </is>
      </c>
      <c r="E7" s="118" t="inlineStr">
        <is>
          <t xml:space="preserve">  RAG card + top 5 drivers + action → UW desktop</t>
        </is>
      </c>
      <c r="F7" s="118" t="inlineStr">
        <is>
          <t xml:space="preserve">  Human decision. Model augments, never replaces.</t>
        </is>
      </c>
    </row>
    <row r="8" ht="5" customHeight="1"/>
    <row r="9" ht="28" customHeight="1">
      <c r="A9" s="156" t="inlineStr">
        <is>
          <t>Risk Dimension</t>
        </is>
      </c>
      <c r="B9" s="156" t="inlineStr">
        <is>
          <t>Weight</t>
        </is>
      </c>
      <c r="C9" s="156" t="inlineStr">
        <is>
          <t>Signal / Feature</t>
        </is>
      </c>
      <c r="D9" s="156" t="inlineStr">
        <is>
          <t>Moody's Data Source</t>
        </is>
      </c>
      <c r="E9" s="156" t="inlineStr">
        <is>
          <t>Scoring Logic (0–10 scale)</t>
        </is>
      </c>
      <c r="F9" s="156" t="inlineStr">
        <is>
          <t>🟢 Low Risk (0–3)</t>
        </is>
      </c>
      <c r="G9" s="156" t="inlineStr">
        <is>
          <t>🟡 Moderate (4–6)</t>
        </is>
      </c>
      <c r="H9" s="156" t="inlineStr">
        <is>
          <t>🔴 High Risk (7–10)</t>
        </is>
      </c>
      <c r="I9" s="157" t="inlineStr">
        <is>
          <t>Auto Red Line?</t>
        </is>
      </c>
    </row>
    <row r="10" ht="40" customHeight="1">
      <c r="A10" s="158" t="inlineStr">
        <is>
          <t>Credit &amp; Financial Health</t>
        </is>
      </c>
      <c r="B10" s="159" t="inlineStr">
        <is>
          <t>25%</t>
        </is>
      </c>
      <c r="C10" s="40" t="inlineStr">
        <is>
          <t>EDF-X Probability of Default</t>
        </is>
      </c>
      <c r="D10" s="124" t="inlineStr">
        <is>
          <t>EDF-X (Public or Private model)</t>
        </is>
      </c>
      <c r="E10" s="160" t="inlineStr">
        <is>
          <t>PD &lt;0.5%→1 | 0.5–2%→4 | 2–5%→7 | &gt;5%→10</t>
        </is>
      </c>
      <c r="F10" s="161" t="inlineStr">
        <is>
          <t>PD &lt;0.5% — investment-grade equivalent financial health</t>
        </is>
      </c>
      <c r="G10" s="162" t="inlineStr">
        <is>
          <t>PD 0.5–2% — sub-investment grade, watchlist territory</t>
        </is>
      </c>
      <c r="H10" s="163" t="inlineStr">
        <is>
          <t>PD &gt;2% — high distress probability, strong D&amp;O claim predictor</t>
        </is>
      </c>
      <c r="I10" s="164" t="n"/>
    </row>
    <row r="11" ht="40" customHeight="1">
      <c r="A11" s="165" t="n"/>
      <c r="B11" s="165" t="n"/>
      <c r="C11" s="40" t="inlineStr">
        <is>
          <t>Moody's Implied / Direct Rating</t>
        </is>
      </c>
      <c r="D11" s="124" t="inlineStr">
        <is>
          <t>Moody's Ratings + EDF-X Implied Rating</t>
        </is>
      </c>
      <c r="E11" s="160" t="inlineStr">
        <is>
          <t>Aaa–Baa3→1–3 | Ba1–B3→4–6 | Caa1+→7–9 | D/Default→10</t>
        </is>
      </c>
      <c r="F11" s="161" t="inlineStr">
        <is>
          <t>Investment grade (Baa3+). Stable or positive outlook.</t>
        </is>
      </c>
      <c r="G11" s="162" t="inlineStr">
        <is>
          <t>High yield (BB range). Negative watch or declining trend.</t>
        </is>
      </c>
      <c r="H11" s="163" t="inlineStr">
        <is>
          <t>Caa/CCC or below. On review for downgrade. Sub-IG for 2+ years.</t>
        </is>
      </c>
      <c r="I11" s="164" t="n"/>
    </row>
    <row r="12" ht="40" customHeight="1">
      <c r="A12" s="165" t="n"/>
      <c r="B12" s="165" t="n"/>
      <c r="C12" s="40" t="inlineStr">
        <is>
          <t>Leverage (Debt/EBITDA)</t>
        </is>
      </c>
      <c r="D12" s="124" t="inlineStr">
        <is>
          <t>Orbis financials + EDF-X leverage model</t>
        </is>
      </c>
      <c r="E12" s="160" t="inlineStr">
        <is>
          <t>&lt;2x→1 | 2–4x→3 | 4–6x→6 | &gt;6x→9 | Covenant breach→10</t>
        </is>
      </c>
      <c r="F12" s="161" t="inlineStr">
        <is>
          <t>&lt;2x. Self-funding growth. Strong coverage ratios.</t>
        </is>
      </c>
      <c r="G12" s="162" t="inlineStr">
        <is>
          <t>2–4x. Manageable but interest rate sensitive. Trend matters.</t>
        </is>
      </c>
      <c r="H12" s="163" t="inlineStr">
        <is>
          <t>&gt;6x. Covenant pressure. Refinancing risk flagged in EDF-X.</t>
        </is>
      </c>
      <c r="I12" s="164" t="n"/>
    </row>
    <row r="13" ht="40" customHeight="1">
      <c r="A13" s="165" t="n"/>
      <c r="B13" s="165" t="n"/>
      <c r="C13" s="40" t="inlineStr">
        <is>
          <t>3-Year Revenue &amp; Earnings Trend</t>
        </is>
      </c>
      <c r="D13" s="124" t="inlineStr">
        <is>
          <t>Orbis 3-yr financials + EDF-X earnings quality</t>
        </is>
      </c>
      <c r="E13" s="160" t="inlineStr">
        <is>
          <t>Growing&gt;10%/yr→1 | Stable±10%→4 | Declining→7 | Restatement→10</t>
        </is>
      </c>
      <c r="F13" s="161" t="inlineStr">
        <is>
          <t>Sustained growth, expanding margins. Earnings quality score: high.</t>
        </is>
      </c>
      <c r="G13" s="162" t="inlineStr">
        <is>
          <t>Flat or slightly declining. Single year loss after profitable run.</t>
        </is>
      </c>
      <c r="H13" s="163" t="inlineStr">
        <is>
          <t>3yr consecutive decline or earnings manipulation signals in EDF-X.</t>
        </is>
      </c>
      <c r="I13" s="164" t="n"/>
    </row>
    <row r="14" ht="40" customHeight="1">
      <c r="A14" s="166" t="n"/>
      <c r="B14" s="166" t="n"/>
      <c r="C14" s="40" t="inlineStr">
        <is>
          <t>Going Concern Audit Opinion</t>
        </is>
      </c>
      <c r="D14" s="124" t="inlineStr">
        <is>
          <t>Orbis (auditor flag) + EDF-X distress model</t>
        </is>
      </c>
      <c r="E14" s="160" t="inlineStr">
        <is>
          <t>No GC→0 | Prior GC (resolved &gt;3yr)→3 | Prior GC (&lt;3yr)→7 | Active GC→10</t>
        </is>
      </c>
      <c r="F14" s="161" t="inlineStr">
        <is>
          <t>No going concern. Big 4 auditor. Clean opinion.</t>
        </is>
      </c>
      <c r="G14" s="162" t="inlineStr">
        <is>
          <t>Small auditor. Prior GC resolved more than 3 years ago.</t>
        </is>
      </c>
      <c r="H14" s="163" t="inlineStr">
        <is>
          <t>Active going concern opinion received in current or prior year.</t>
        </is>
      </c>
      <c r="I14" s="167" t="inlineStr">
        <is>
          <t>⛔ Active going concern = automatic BLACK</t>
        </is>
      </c>
    </row>
    <row r="15" ht="40" customHeight="1">
      <c r="A15" s="168" t="inlineStr">
        <is>
          <t>Corporate Governance Quality</t>
        </is>
      </c>
      <c r="B15" s="169" t="inlineStr">
        <is>
          <t>20%</t>
        </is>
      </c>
      <c r="C15" s="40" t="inlineStr">
        <is>
          <t>Board Independence %</t>
        </is>
      </c>
      <c r="D15" s="124" t="inlineStr">
        <is>
          <t>D&amp;O Data + Orbis director profiles</t>
        </is>
      </c>
      <c r="E15" s="160" t="inlineStr">
        <is>
          <t>&gt;70% independent→1 | 50–70%→4 | &lt;50%→7 | Chair=CEO, no lead→9</t>
        </is>
      </c>
      <c r="F15" s="161" t="inlineStr">
        <is>
          <t>&gt;70% independent. Lead independent director. Annual board eval.</t>
        </is>
      </c>
      <c r="G15" s="162" t="inlineStr">
        <is>
          <t>50–70% independent. Recent director changes. Staggered board.</t>
        </is>
      </c>
      <c r="H15" s="163" t="inlineStr">
        <is>
          <t>&lt;50% independent. Founder controls board. Dual-class entrenchment.</t>
        </is>
      </c>
      <c r="I15" s="164" t="n"/>
    </row>
    <row r="16" ht="40" customHeight="1">
      <c r="A16" s="165" t="n"/>
      <c r="B16" s="165" t="n"/>
      <c r="C16" s="40" t="inlineStr">
        <is>
          <t>Audit Committee Quality</t>
        </is>
      </c>
      <c r="D16" s="124" t="inlineStr">
        <is>
          <t>D&amp;O Data + Orbis auditor data</t>
        </is>
      </c>
      <c r="E16" s="160" t="inlineStr">
        <is>
          <t>Big4 + strong committee→1 | Big4 + weak committee→3 | Non-Big4→6 | Auditor change (Big4→small)→9</t>
        </is>
      </c>
      <c r="F16" s="161" t="inlineStr">
        <is>
          <t>Big 4 auditor. Audit committee chair is CPA. No auditor change.</t>
        </is>
      </c>
      <c r="G16" s="162" t="inlineStr">
        <is>
          <t>Mid-tier auditor or recent auditor change with benign explanation.</t>
        </is>
      </c>
      <c r="H16" s="163" t="inlineStr">
        <is>
          <t>Auditor downgrade (Big4 → regional). Multiple auditor changes in 3yr.</t>
        </is>
      </c>
      <c r="I16" s="164" t="n"/>
    </row>
    <row r="17" ht="40" customHeight="1">
      <c r="A17" s="165" t="n"/>
      <c r="B17" s="165" t="n"/>
      <c r="C17" s="40" t="inlineStr">
        <is>
          <t>Related Party Transactions</t>
        </is>
      </c>
      <c r="D17" s="124" t="inlineStr">
        <is>
          <t>Orbis UBO + corporate tree + RDC/GRID adverse news</t>
        </is>
      </c>
      <c r="E17" s="160" t="inlineStr">
        <is>
          <t>None disclosed→0 | Immaterial/approved→3 | Material/approved→6 | Undisclosed RPTs→10</t>
        </is>
      </c>
      <c r="F17" s="161" t="inlineStr">
        <is>
          <t>No related party transactions. Robust RPT approval policy.</t>
        </is>
      </c>
      <c r="G17" s="162" t="inlineStr">
        <is>
          <t>Immaterial RPTs disclosed with board approval. Market-rate terms.</t>
        </is>
      </c>
      <c r="H17" s="163" t="inlineStr">
        <is>
          <t>Material RPTs or self-dealing patterns identified in Orbis UBO tree.</t>
        </is>
      </c>
      <c r="I17" s="167" t="inlineStr">
        <is>
          <t>⛔ Undisclosed RPTs identified via Orbis = BLACK</t>
        </is>
      </c>
    </row>
    <row r="18" ht="40" customHeight="1">
      <c r="A18" s="166" t="n"/>
      <c r="B18" s="166" t="n"/>
      <c r="C18" s="40" t="inlineStr">
        <is>
          <t>Executive Compensation Alignment</t>
        </is>
      </c>
      <c r="D18" s="124" t="inlineStr">
        <is>
          <t>D&amp;O Data + proxy data</t>
        </is>
      </c>
      <c r="E18" s="160" t="inlineStr">
        <is>
          <t>Performance-linked &gt;80%→1 | Mixed→4 | Fixed-dominant→7 | Excessive vs peers→9</t>
        </is>
      </c>
      <c r="F18" s="161" t="inlineStr">
        <is>
          <t>Strong pay-for-performance. Clawback policy in place. Below-median base.</t>
        </is>
      </c>
      <c r="G18" s="162" t="inlineStr">
        <is>
          <t>Mixed comp structure. CEO pay ratio elevated but within 2x peers.</t>
        </is>
      </c>
      <c r="H18" s="163" t="inlineStr">
        <is>
          <t>Fixed-dominated. CEO pay ratio &gt;5x peers. No clawback policy.</t>
        </is>
      </c>
      <c r="I18" s="164" t="n"/>
    </row>
    <row r="19" ht="40" customHeight="1">
      <c r="A19" s="170" t="inlineStr">
        <is>
          <t>Litigation &amp; Conduct Risk</t>
        </is>
      </c>
      <c r="B19" s="171" t="inlineStr">
        <is>
          <t>20%</t>
        </is>
      </c>
      <c r="C19" s="40" t="inlineStr">
        <is>
          <t>Active Regulatory Investigation</t>
        </is>
      </c>
      <c r="D19" s="124" t="inlineStr">
        <is>
          <t>RDC/GRID enforcement database (SEC, DOJ, FINRA, FCA, CFTC)</t>
        </is>
      </c>
      <c r="E19" s="160" t="inlineStr">
        <is>
          <t>None→0 | Historical resolved &gt;5yr→2 | Historical resolved &lt;5yr→5 | Active→10</t>
        </is>
      </c>
      <c r="F19" s="161" t="inlineStr">
        <is>
          <t>No regulatory history. Clean RDC/GRID screen.</t>
        </is>
      </c>
      <c r="G19" s="162" t="inlineStr">
        <is>
          <t>Resolved regulatory matter &gt;3yr ago. Co-operation credit received.</t>
        </is>
      </c>
      <c r="H19" s="163" t="inlineStr">
        <is>
          <t>Active formal investigation. Wells notice received. DOJ subpoena.</t>
        </is>
      </c>
      <c r="I19" s="167" t="inlineStr">
        <is>
          <t>⛔ Active SEC/DOJ formal investigation = automatic BLACK</t>
        </is>
      </c>
    </row>
    <row r="20" ht="40" customHeight="1">
      <c r="A20" s="165" t="n"/>
      <c r="B20" s="165" t="n"/>
      <c r="C20" s="40" t="inlineStr">
        <is>
          <t>Prior D&amp;O Claims (5-year window)</t>
        </is>
      </c>
      <c r="D20" s="124" t="inlineStr">
        <is>
          <t>Application loss runs + RDC/GRID litigation data</t>
        </is>
      </c>
      <c r="E20" s="160" t="inlineStr">
        <is>
          <t>0 claims→0 | 1 claim resolved→4 | 1 open claim→7 | 2+ claims→9</t>
        </is>
      </c>
      <c r="F20" s="161" t="inlineStr">
        <is>
          <t>Zero prior D&amp;O claims in 5 years. No open matters.</t>
        </is>
      </c>
      <c r="G20" s="162" t="inlineStr">
        <is>
          <t>One prior claim, fully resolved, sub-$500K. Root cause addressed.</t>
        </is>
      </c>
      <c r="H20" s="163" t="inlineStr">
        <is>
          <t>Two or more claims. Open reserve &gt;$1M. Pattern of management conduct.</t>
        </is>
      </c>
      <c r="I20" s="164" t="n"/>
    </row>
    <row r="21" ht="40" customHeight="1">
      <c r="A21" s="165" t="n"/>
      <c r="B21" s="165" t="n"/>
      <c r="C21" s="40" t="inlineStr">
        <is>
          <t>Financial Restatements</t>
        </is>
      </c>
      <c r="D21" s="124" t="inlineStr">
        <is>
          <t>RDC/GRID + Orbis auditor changes + EDF-X earnings quality</t>
        </is>
      </c>
      <c r="E21" s="160" t="inlineStr">
        <is>
          <t>None→0 | Immaterial/error→3 | Material/error→6 | Material/fraud→10</t>
        </is>
      </c>
      <c r="F21" s="161" t="inlineStr">
        <is>
          <t>No restatements. Consistent GAAP application. EDF-X earnings: high quality.</t>
        </is>
      </c>
      <c r="G21" s="162" t="inlineStr">
        <is>
          <t>Immaterial restatement due to accounting error. No fraud indicators.</t>
        </is>
      </c>
      <c r="H21" s="163" t="inlineStr">
        <is>
          <t>Material restatement. Especially if auditor-initiated or fraud-adjacent.</t>
        </is>
      </c>
      <c r="I21" s="167" t="inlineStr">
        <is>
          <t>⛔ Fraud-related restatement = automatic BLACK</t>
        </is>
      </c>
    </row>
    <row r="22" ht="40" customHeight="1">
      <c r="A22" s="165" t="n"/>
      <c r="B22" s="165" t="n"/>
      <c r="C22" s="40" t="inlineStr">
        <is>
          <t>Sanctions / OFAC Screen</t>
        </is>
      </c>
      <c r="D22" s="124" t="inlineStr">
        <is>
          <t>RDC/GRID (entity + all UBOs + key execs — Orbis UBO tree)</t>
        </is>
      </c>
      <c r="E22" s="160" t="inlineStr">
        <is>
          <t>All clear→0 | Historical PEP (no active sanction)→2 | PEP with current exposure→6 | Sanctions hit→10</t>
        </is>
      </c>
      <c r="F22" s="161" t="inlineStr">
        <is>
          <t>All entity, UBO, and exec screens clear. No PEP exposure.</t>
        </is>
      </c>
      <c r="G22" s="162" t="inlineStr">
        <is>
          <t>Non-sanctioned PEP. Former govt official with disclosed relationship.</t>
        </is>
      </c>
      <c r="H22" s="163" t="inlineStr">
        <is>
          <t>Sanctioned UBO identified in Orbis corporate tree via RDC/GRID screen.</t>
        </is>
      </c>
      <c r="I22" s="167" t="inlineStr">
        <is>
          <t>⛔ Any OFAC/EU/UN sanctions hit = automatic BLACK</t>
        </is>
      </c>
    </row>
    <row r="23" ht="40" customHeight="1">
      <c r="A23" s="166" t="n"/>
      <c r="B23" s="166" t="n"/>
      <c r="C23" s="40" t="inlineStr">
        <is>
          <t>Adverse Media Score</t>
        </is>
      </c>
      <c r="D23" s="124" t="inlineStr">
        <is>
          <t>RDC/GRID adverse media monitoring (real-time)</t>
        </is>
      </c>
      <c r="E23" s="160" t="inlineStr">
        <is>
          <t>Clean→0 | Minor/unverified→2 | Moderate credible coverage→5 | Major/credible ongoing→9</t>
        </is>
      </c>
      <c r="F23" s="161" t="inlineStr">
        <is>
          <t>No adverse news. Positive media profile.</t>
        </is>
      </c>
      <c r="G23" s="162" t="inlineStr">
        <is>
          <t>Single adverse article. Unverified allegation. Company responded.</t>
        </is>
      </c>
      <c r="H23" s="163" t="inlineStr">
        <is>
          <t>Sustained credible adverse media. Short-seller report. Activist targeting.</t>
        </is>
      </c>
      <c r="I23" s="164" t="n"/>
    </row>
    <row r="24" ht="40" customHeight="1">
      <c r="A24" s="172" t="inlineStr">
        <is>
          <t>Market &amp; Shareholder Signals</t>
        </is>
      </c>
      <c r="B24" s="173" t="inlineStr">
        <is>
          <t>15%</t>
        </is>
      </c>
      <c r="C24" s="40" t="inlineStr">
        <is>
          <t>Share Price 12-Month Decline</t>
        </is>
      </c>
      <c r="D24" s="124" t="inlineStr">
        <is>
          <t>Orbis / EDF-X market-implied signals</t>
        </is>
      </c>
      <c r="E24" s="160" t="inlineStr">
        <is>
          <t>&lt;10% decline→1 | 10–30%→5 | 30–50%→7 | &gt;50%→9</t>
        </is>
      </c>
      <c r="F24" s="161" t="inlineStr">
        <is>
          <t>&lt;10% decline or positive. Consistent with sector.</t>
        </is>
      </c>
      <c r="G24" s="162" t="inlineStr">
        <is>
          <t>10–30% decline. Underperforming sector. Monitoring required.</t>
        </is>
      </c>
      <c r="H24" s="163" t="inlineStr">
        <is>
          <t>&gt;50% decline in 12 months. Signals severe market concern about management.</t>
        </is>
      </c>
      <c r="I24" s="164" t="n"/>
    </row>
    <row r="25" ht="40" customHeight="1">
      <c r="A25" s="165" t="n"/>
      <c r="B25" s="165" t="n"/>
      <c r="C25" s="40" t="inlineStr">
        <is>
          <t>Short Interest % of Float</t>
        </is>
      </c>
      <c r="D25" s="124" t="inlineStr">
        <is>
          <t>EDF-X market signals + Orbis</t>
        </is>
      </c>
      <c r="E25" s="160" t="inlineStr">
        <is>
          <t>&lt;3%→1 | 3–8%→4 | 8–15%→7 | &gt;15%→9</t>
        </is>
      </c>
      <c r="F25" s="161" t="inlineStr">
        <is>
          <t>&lt;3% short interest. Institutional confidence. No activist targeting.</t>
        </is>
      </c>
      <c r="G25" s="162" t="inlineStr">
        <is>
          <t>3–8%. Elevated but not extreme. Monitor for short-seller reports.</t>
        </is>
      </c>
      <c r="H25" s="163" t="inlineStr">
        <is>
          <t>&gt;15% short interest. Near-certain signal of forthcoming adverse disclosure.</t>
        </is>
      </c>
      <c r="I25" s="164" t="n"/>
    </row>
    <row r="26" ht="40" customHeight="1">
      <c r="A26" s="166" t="n"/>
      <c r="B26" s="166" t="n"/>
      <c r="C26" s="40" t="inlineStr">
        <is>
          <t>M&amp;A / SPAC / IPO Activity</t>
        </is>
      </c>
      <c r="D26" s="124" t="inlineStr">
        <is>
          <t>Orbis M&amp;A history + RDC/GRID news + application</t>
        </is>
      </c>
      <c r="E26" s="160" t="inlineStr">
        <is>
          <t>No activity→1 | Closed deal &gt;2yr→3 | Active integration→5 | SPAC→8 | Hostile target→9</t>
        </is>
      </c>
      <c r="F26" s="161" t="inlineStr">
        <is>
          <t>No M&amp;A activity. Organic growth. Stable ownership structure.</t>
        </is>
      </c>
      <c r="G26" s="162" t="inlineStr">
        <is>
          <t>Closed deal 1–2yr ago. Integration progressing. Goodwill manageable.</t>
        </is>
      </c>
      <c r="H26" s="163" t="inlineStr">
        <is>
          <t>SPAC de-SPAC transaction. Active hostile bid. Major acquisition &gt;50% revenue.</t>
        </is>
      </c>
      <c r="I26" s="164" t="n"/>
    </row>
    <row r="27" ht="40" customHeight="1">
      <c r="A27" s="174" t="inlineStr">
        <is>
          <t>Sector &amp; Macro Risk</t>
        </is>
      </c>
      <c r="B27" s="175" t="inlineStr">
        <is>
          <t>10%</t>
        </is>
      </c>
      <c r="C27" s="40" t="inlineStr">
        <is>
          <t>Industry Litigation Frequency</t>
        </is>
      </c>
      <c r="D27" s="124" t="inlineStr">
        <is>
          <t>Economy.com sector analytics + Praedicat sector litigation profile</t>
        </is>
      </c>
      <c r="E27" s="160" t="inlineStr">
        <is>
          <t>Low litigation industry→1 | Moderate→4 | High (financial svcs, biotech, tech)→7 | Extreme→9</t>
        </is>
      </c>
      <c r="F27" s="161" t="inlineStr">
        <is>
          <t>Low-litigation sector. Mature stable industry. Strong regulatory compliance culture.</t>
        </is>
      </c>
      <c r="G27" s="162" t="inlineStr">
        <is>
          <t>Moderate litigation industry. Some class action history sector-wide.</t>
        </is>
      </c>
      <c r="H27" s="163" t="inlineStr">
        <is>
          <t>High-litigation sector (financial services, healthcare, tech pre-revenue, crypto).</t>
        </is>
      </c>
      <c r="I27" s="164" t="n"/>
    </row>
    <row r="28" ht="40" customHeight="1">
      <c r="A28" s="166" t="n"/>
      <c r="B28" s="166" t="n"/>
      <c r="C28" s="40" t="inlineStr">
        <is>
          <t>Sector Economic Stress Outlook</t>
        </is>
      </c>
      <c r="D28" s="124" t="inlineStr">
        <is>
          <t>Economy.com 12-month sector forecast</t>
        </is>
      </c>
      <c r="E28" s="160" t="inlineStr">
        <is>
          <t>Expanding→1 | Stable→3 | Headwinds→6 | Contracting→8 | Stressed/distressed→10</t>
        </is>
      </c>
      <c r="F28" s="161" t="inlineStr">
        <is>
          <t>Growing sector. Demand exceeding supply. Pricing power intact.</t>
        </is>
      </c>
      <c r="G28" s="162" t="inlineStr">
        <is>
          <t>Cyclical sector with near-term headwinds. Some stress but manageable.</t>
        </is>
      </c>
      <c r="H28" s="163" t="inlineStr">
        <is>
          <t>Sector in structural decline or severe macro headwinds (e.g., retail post-Amazon).</t>
        </is>
      </c>
      <c r="I28" s="164" t="n"/>
    </row>
    <row r="29" ht="40" customHeight="1">
      <c r="A29" s="176" t="inlineStr">
        <is>
          <t>Cyber &amp; ESG Exposure</t>
        </is>
      </c>
      <c r="B29" s="177" t="inlineStr">
        <is>
          <t>7%</t>
        </is>
      </c>
      <c r="C29" s="40" t="inlineStr">
        <is>
          <t>BitSight Cyber Risk Score</t>
        </is>
      </c>
      <c r="D29" s="124" t="inlineStr">
        <is>
          <t>BitSight (external attack surface scan — no company co-operation)</t>
        </is>
      </c>
      <c r="E29" s="160" t="inlineStr">
        <is>
          <t>&gt;750→1 | 650–750→3 | 550–650→6 | &lt;550→8 | Critical finding→10</t>
        </is>
      </c>
      <c r="F29" s="161" t="inlineStr">
        <is>
          <t>&gt;750. Grade A. No critical exposures. Strong security hygiene.</t>
        </is>
      </c>
      <c r="G29" s="162" t="inlineStr">
        <is>
          <t>600–750. Grade B/C. Some patching lag. No critical open exposures.</t>
        </is>
      </c>
      <c r="H29" s="163" t="inlineStr">
        <is>
          <t>&lt;550. Grade D/F. Critical vulnerabilities. Prior breach indicators.</t>
        </is>
      </c>
      <c r="I29" s="164" t="n"/>
    </row>
    <row r="30" ht="40" customHeight="1">
      <c r="A30" s="166" t="n"/>
      <c r="B30" s="166" t="n"/>
      <c r="C30" s="40" t="inlineStr">
        <is>
          <t>ESG Controversy &amp; Greenwashing Exposure</t>
        </is>
      </c>
      <c r="D30" s="124" t="inlineStr">
        <is>
          <t>CreditView ESG scores + RDC/GRID adverse news</t>
        </is>
      </c>
      <c r="E30" s="160" t="inlineStr">
        <is>
          <t>No controversy→1 | Minor/resolved→3 | Moderate ongoing→6 | Major/regulatory action→9</t>
        </is>
      </c>
      <c r="F30" s="161" t="inlineStr">
        <is>
          <t>Clean ESG profile. Disclosures aligned with performance metrics.</t>
        </is>
      </c>
      <c r="G30" s="162" t="inlineStr">
        <is>
          <t>Minor ESG controversy. Supply chain issue. Addressed by management.</t>
        </is>
      </c>
      <c r="H30" s="163" t="inlineStr">
        <is>
          <t>SEC climate disclosure enforcement. Major greenwashing allegation. NGO campaign.</t>
        </is>
      </c>
      <c r="I30" s="164" t="n"/>
    </row>
    <row r="31" ht="40" customHeight="1">
      <c r="A31" s="178" t="inlineStr">
        <is>
          <t>Geographic &amp; Sanctions Risk</t>
        </is>
      </c>
      <c r="B31" s="179" t="inlineStr">
        <is>
          <t>3%</t>
        </is>
      </c>
      <c r="C31" s="40" t="inlineStr">
        <is>
          <t>Country Risk of Operations</t>
        </is>
      </c>
      <c r="D31" s="124" t="inlineStr">
        <is>
          <t>Economy.com country risk + Orbis geo footprint + Ratings sovereign</t>
        </is>
      </c>
      <c r="E31" s="160" t="inlineStr">
        <is>
          <t>All IG countries→1 | Mixed IG/HY→3 | Significant HY exposure→6 | OFAC-adjacent→9</t>
        </is>
      </c>
      <c r="F31" s="161" t="inlineStr">
        <is>
          <t>Operations in OECD low-risk countries. Strong rule of law. Low FCPA risk.</t>
        </is>
      </c>
      <c r="G31" s="162" t="inlineStr">
        <is>
          <t>Some emerging market exposure. Enhanced due diligence completed.</t>
        </is>
      </c>
      <c r="H31" s="163" t="inlineStr">
        <is>
          <t>Significant operations in FATF watchlist countries or high-corruption jurisdictions.</t>
        </is>
      </c>
      <c r="I31" s="167" t="inlineStr">
        <is>
          <t>⛔ Operations in OFAC-sanctioned jurisdictions = BLACK</t>
        </is>
      </c>
    </row>
    <row r="32" ht="5" customHeight="1"/>
    <row r="33" ht="16" customHeight="1">
      <c r="A33" s="136" t="inlineStr">
        <is>
          <t xml:space="preserve">  RED LINE RULES — AUTOMATIC SIGNAL OVERRIDE (Triggers ⛔ BLACK regardless of score)</t>
        </is>
      </c>
    </row>
    <row r="34" ht="20" customHeight="1">
      <c r="A34" s="180" t="inlineStr">
        <is>
          <t>#</t>
        </is>
      </c>
      <c r="B34" s="180" t="inlineStr">
        <is>
          <t>Red Line Condition</t>
        </is>
      </c>
      <c r="C34" s="180" t="inlineStr">
        <is>
          <t>Moody's Data Source That Identifies It</t>
        </is>
      </c>
      <c r="D34" s="56" t="n"/>
      <c r="E34" s="56" t="n"/>
      <c r="F34" s="56" t="n"/>
      <c r="G34" s="57" t="n"/>
      <c r="H34" s="180" t="inlineStr">
        <is>
          <t>Action</t>
        </is>
      </c>
      <c r="I34" s="57" t="n"/>
    </row>
    <row r="35" ht="28" customHeight="1">
      <c r="A35" s="181" t="inlineStr">
        <is>
          <t>1</t>
        </is>
      </c>
      <c r="B35" s="182" t="inlineStr">
        <is>
          <t>Active going concern audit opinion (current or prior year)</t>
        </is>
      </c>
      <c r="C35" s="183" t="inlineStr">
        <is>
          <t>Orbis auditor flag + EDF-X distress model (EDF &gt;10%)</t>
        </is>
      </c>
      <c r="D35" s="56" t="n"/>
      <c r="E35" s="56" t="n"/>
      <c r="F35" s="56" t="n"/>
      <c r="G35" s="57" t="n"/>
      <c r="H35" s="167" t="inlineStr">
        <is>
          <t>⛔ BLACK — Side A only offer at best. Standard D&amp;O declined.</t>
        </is>
      </c>
      <c r="I35" s="57" t="n"/>
    </row>
    <row r="36" ht="28" customHeight="1">
      <c r="A36" s="181" t="inlineStr">
        <is>
          <t>2</t>
        </is>
      </c>
      <c r="B36" s="182" t="inlineStr">
        <is>
          <t>Active formal SEC / DOJ / FCA regulatory investigation</t>
        </is>
      </c>
      <c r="C36" s="183" t="inlineStr">
        <is>
          <t>RDC/GRID enforcement database — real-time regulatory action monitoring</t>
        </is>
      </c>
      <c r="D36" s="56" t="n"/>
      <c r="E36" s="56" t="n"/>
      <c r="F36" s="56" t="n"/>
      <c r="G36" s="57" t="n"/>
      <c r="H36" s="167" t="inlineStr">
        <is>
          <t>⛔ BLACK — Decline. Refer to specialty D&amp;O market with investigation exclusion.</t>
        </is>
      </c>
      <c r="I36" s="57" t="n"/>
    </row>
    <row r="37" ht="28" customHeight="1">
      <c r="A37" s="181" t="inlineStr">
        <is>
          <t>3</t>
        </is>
      </c>
      <c r="B37" s="182" t="inlineStr">
        <is>
          <t>Material financial restatement with fraud indicators</t>
        </is>
      </c>
      <c r="C37" s="183" t="inlineStr">
        <is>
          <t>RDC/GRID + EDF-X earnings quality score + Orbis auditor change data</t>
        </is>
      </c>
      <c r="D37" s="56" t="n"/>
      <c r="E37" s="56" t="n"/>
      <c r="F37" s="56" t="n"/>
      <c r="G37" s="57" t="n"/>
      <c r="H37" s="167" t="inlineStr">
        <is>
          <t>⛔ BLACK — Decline. Restatement exclusion only possible on renewal with clean audit.</t>
        </is>
      </c>
      <c r="I37" s="57" t="n"/>
    </row>
    <row r="38" ht="28" customHeight="1">
      <c r="A38" s="181" t="inlineStr">
        <is>
          <t>4</t>
        </is>
      </c>
      <c r="B38" s="182" t="inlineStr">
        <is>
          <t>OFAC / EU / UN sanctions hit on entity, UBO, or key executive</t>
        </is>
      </c>
      <c r="C38" s="183" t="inlineStr">
        <is>
          <t>RDC/GRID sanctions screen + Orbis UBO tree (screens all beneficial owners)</t>
        </is>
      </c>
      <c r="D38" s="56" t="n"/>
      <c r="E38" s="56" t="n"/>
      <c r="F38" s="56" t="n"/>
      <c r="G38" s="57" t="n"/>
      <c r="H38" s="167" t="inlineStr">
        <is>
          <t>⛔ BLACK — Mandatory decline. Zero underwriter discretion. Compliance escalation.</t>
        </is>
      </c>
      <c r="I38" s="57" t="n"/>
    </row>
    <row r="39" ht="28" customHeight="1">
      <c r="A39" s="181" t="inlineStr">
        <is>
          <t>5</t>
        </is>
      </c>
      <c r="B39" s="182" t="inlineStr">
        <is>
          <t>Active securities class action lawsuit filed</t>
        </is>
      </c>
      <c r="C39" s="183" t="inlineStr">
        <is>
          <t>RDC/GRID litigation database + adverse news monitoring</t>
        </is>
      </c>
      <c r="D39" s="56" t="n"/>
      <c r="E39" s="56" t="n"/>
      <c r="F39" s="56" t="n"/>
      <c r="G39" s="57" t="n"/>
      <c r="H39" s="167" t="inlineStr">
        <is>
          <t>⛔ BLACK — Decline new business. Renewal: Side A only with lawsuit exclusion.</t>
        </is>
      </c>
      <c r="I39" s="57" t="n"/>
    </row>
    <row r="40" ht="28" customHeight="1">
      <c r="A40" s="181" t="inlineStr">
        <is>
          <t>6</t>
        </is>
      </c>
      <c r="B40" s="182" t="inlineStr">
        <is>
          <t>Short-seller research report published naming the company</t>
        </is>
      </c>
      <c r="C40" s="183" t="inlineStr">
        <is>
          <t>RDC/GRID adverse media — real-time monitoring with alert</t>
        </is>
      </c>
      <c r="D40" s="56" t="n"/>
      <c r="E40" s="56" t="n"/>
      <c r="F40" s="56" t="n"/>
      <c r="G40" s="57" t="n"/>
      <c r="H40" s="167" t="inlineStr">
        <is>
          <t>⛔ BLACK — Immediate hold on any binding. Re-underwrite with legal counsel review.</t>
        </is>
      </c>
      <c r="I40" s="57" t="n"/>
    </row>
    <row r="41" ht="5" customHeight="1"/>
    <row r="42" ht="16" customHeight="1">
      <c r="A42" s="134" t="inlineStr">
        <is>
          <t xml:space="preserve">  HYPOTHETICAL SCORED SCENARIOS — Model In Action</t>
        </is>
      </c>
    </row>
    <row r="43" ht="20" customHeight="1">
      <c r="A43" s="184" t="inlineStr">
        <is>
          <t xml:space="preserve">  SCENARIO 1 — StellarTech Inc.  |  Series D SaaS company, $80M ARR, 40% YoY growth, VC-backed, IPO planned in 18 months</t>
        </is>
      </c>
      <c r="H43" s="185" t="inlineStr">
        <is>
          <t>SIGNAL: 🟡 YELLOW</t>
        </is>
      </c>
    </row>
    <row r="44" ht="16" customHeight="1">
      <c r="A44" s="186" t="inlineStr">
        <is>
          <t>Dimension</t>
        </is>
      </c>
      <c r="B44" s="186" t="inlineStr">
        <is>
          <t>Wt %</t>
        </is>
      </c>
      <c r="C44" s="186" t="inlineStr">
        <is>
          <t>Score (0–10)</t>
        </is>
      </c>
      <c r="D44" s="186" t="inlineStr">
        <is>
          <t>Wtd Contribution</t>
        </is>
      </c>
      <c r="E44" s="186" t="inlineStr">
        <is>
          <t>Key Signals Driving Score</t>
        </is>
      </c>
      <c r="F44" s="186" t="n"/>
      <c r="G44" s="186" t="n"/>
      <c r="H44" s="186" t="inlineStr">
        <is>
          <t>Red Line?</t>
        </is>
      </c>
      <c r="I44" s="186" t="n"/>
    </row>
    <row r="45" ht="30" customHeight="1">
      <c r="A45" s="187" t="inlineStr">
        <is>
          <t>Credit &amp; Financial Health</t>
        </is>
      </c>
      <c r="B45" s="188" t="inlineStr">
        <is>
          <t>25%</t>
        </is>
      </c>
      <c r="C45" s="189" t="inlineStr">
        <is>
          <t>4/10</t>
        </is>
      </c>
      <c r="D45" s="189" t="inlineStr">
        <is>
          <t>10.0</t>
        </is>
      </c>
      <c r="E45" s="40" t="inlineStr">
        <is>
          <t>EDF-X private PD: 1.8% (Ba2 implied). Negative cash flow typical for growth stage. EWS: not flagged.</t>
        </is>
      </c>
      <c r="F45" s="56" t="n"/>
      <c r="G45" s="57" t="n"/>
      <c r="H45" s="190" t="n"/>
      <c r="I45" s="57" t="n"/>
    </row>
    <row r="46" ht="30" customHeight="1">
      <c r="A46" s="187" t="inlineStr">
        <is>
          <t>Corporate Governance</t>
        </is>
      </c>
      <c r="B46" s="188" t="inlineStr">
        <is>
          <t>20%</t>
        </is>
      </c>
      <c r="C46" s="191" t="inlineStr">
        <is>
          <t>3/10</t>
        </is>
      </c>
      <c r="D46" s="191" t="inlineStr">
        <is>
          <t>6.0</t>
        </is>
      </c>
      <c r="E46" s="40" t="inlineStr">
        <is>
          <t>4/5 directors independent. Big 4 auditor. CEO tenure 6yr. No RPTs. Strong board.</t>
        </is>
      </c>
      <c r="F46" s="56" t="n"/>
      <c r="G46" s="57" t="n"/>
      <c r="H46" s="190" t="n"/>
      <c r="I46" s="57" t="n"/>
    </row>
    <row r="47" ht="30" customHeight="1">
      <c r="A47" s="187" t="inlineStr">
        <is>
          <t>Litigation &amp; Conduct</t>
        </is>
      </c>
      <c r="B47" s="188" t="inlineStr">
        <is>
          <t>20%</t>
        </is>
      </c>
      <c r="C47" s="191" t="inlineStr">
        <is>
          <t>1/10</t>
        </is>
      </c>
      <c r="D47" s="191" t="inlineStr">
        <is>
          <t>2.0</t>
        </is>
      </c>
      <c r="E47" s="40" t="inlineStr">
        <is>
          <t>RDC/GRID: clean. Zero prior D&amp;O claims. No restatements. No regulatory history.</t>
        </is>
      </c>
      <c r="F47" s="56" t="n"/>
      <c r="G47" s="57" t="n"/>
      <c r="H47" s="190" t="n"/>
      <c r="I47" s="57" t="n"/>
    </row>
    <row r="48" ht="30" customHeight="1">
      <c r="A48" s="187" t="inlineStr">
        <is>
          <t>Market &amp; Shareholder</t>
        </is>
      </c>
      <c r="B48" s="188" t="inlineStr">
        <is>
          <t>15%</t>
        </is>
      </c>
      <c r="C48" s="189" t="inlineStr">
        <is>
          <t>6/10</t>
        </is>
      </c>
      <c r="D48" s="189" t="inlineStr">
        <is>
          <t>9.0</t>
        </is>
      </c>
      <c r="E48" s="40" t="inlineStr">
        <is>
          <t>Private — no public mkt signals. IPO in 18mo = elevated risk window. M&amp;A score: 6 (SPAC risk flag).</t>
        </is>
      </c>
      <c r="F48" s="56" t="n"/>
      <c r="G48" s="57" t="n"/>
      <c r="H48" s="190" t="n"/>
      <c r="I48" s="57" t="n"/>
    </row>
    <row r="49" ht="30" customHeight="1">
      <c r="A49" s="187" t="inlineStr">
        <is>
          <t>Sector &amp; Macro Risk</t>
        </is>
      </c>
      <c r="B49" s="188" t="inlineStr">
        <is>
          <t>10%</t>
        </is>
      </c>
      <c r="C49" s="189" t="inlineStr">
        <is>
          <t>5/10</t>
        </is>
      </c>
      <c r="D49" s="189" t="inlineStr">
        <is>
          <t>5.0</t>
        </is>
      </c>
      <c r="E49" s="40" t="inlineStr">
        <is>
          <t>Tech SaaS: moderate-high litigation frequency. Economy.com: sector stable but AI competition risk.</t>
        </is>
      </c>
      <c r="F49" s="56" t="n"/>
      <c r="G49" s="57" t="n"/>
      <c r="H49" s="190" t="n"/>
      <c r="I49" s="57" t="n"/>
    </row>
    <row r="50" ht="30" customHeight="1">
      <c r="A50" s="187" t="inlineStr">
        <is>
          <t>Cyber &amp; ESG</t>
        </is>
      </c>
      <c r="B50" s="188" t="inlineStr">
        <is>
          <t>7%</t>
        </is>
      </c>
      <c r="C50" s="191" t="inlineStr">
        <is>
          <t>3/10</t>
        </is>
      </c>
      <c r="D50" s="191" t="inlineStr">
        <is>
          <t>2.1</t>
        </is>
      </c>
      <c r="E50" s="40" t="inlineStr">
        <is>
          <t>BitSight: 690 (Grade B). No critical exposures. ESG: clean.</t>
        </is>
      </c>
      <c r="F50" s="56" t="n"/>
      <c r="G50" s="57" t="n"/>
      <c r="H50" s="190" t="n"/>
      <c r="I50" s="57" t="n"/>
    </row>
    <row r="51" ht="30" customHeight="1">
      <c r="A51" s="187" t="inlineStr">
        <is>
          <t>Geographic &amp; Sanctions</t>
        </is>
      </c>
      <c r="B51" s="188" t="inlineStr">
        <is>
          <t>3%</t>
        </is>
      </c>
      <c r="C51" s="191" t="inlineStr">
        <is>
          <t>1/10</t>
        </is>
      </c>
      <c r="D51" s="191" t="inlineStr">
        <is>
          <t>0.3</t>
        </is>
      </c>
      <c r="E51" s="40" t="inlineStr">
        <is>
          <t>US-only operations. All screens clear.</t>
        </is>
      </c>
      <c r="F51" s="56" t="n"/>
      <c r="G51" s="57" t="n"/>
      <c r="H51" s="190" t="n"/>
      <c r="I51" s="57" t="n"/>
    </row>
    <row r="52" ht="24" customHeight="1">
      <c r="A52" s="192" t="inlineStr">
        <is>
          <t>COMPOSITE SCORE</t>
        </is>
      </c>
      <c r="B52" s="57" t="n"/>
      <c r="C52" s="193" t="inlineStr">
        <is>
          <t>38/100</t>
        </is>
      </c>
      <c r="D52" s="194" t="inlineStr">
        <is>
          <t>→ 🟡 YELLOW</t>
        </is>
      </c>
      <c r="E52" s="195" t="inlineStr">
        <is>
          <t>ACTION: Standard UW review. Request IPO disclosure, SPAC vs. traditional IPO confirmation, D&amp;O limits analysis.</t>
        </is>
      </c>
      <c r="F52" s="56" t="n"/>
      <c r="G52" s="56" t="n"/>
      <c r="H52" s="56" t="n"/>
      <c r="I52" s="57" t="n"/>
    </row>
    <row r="53" ht="5" customHeight="1"/>
    <row r="54" ht="20" customHeight="1">
      <c r="A54" s="184" t="inlineStr">
        <is>
          <t xml:space="preserve">  SCENARIO 2 — RetailGroup PLC  |  Public mid-cap retailer, $2.1B revenue, declining 18% YoY (3yr), Moody's rating: B1 Negative</t>
        </is>
      </c>
      <c r="H54" s="196" t="inlineStr">
        <is>
          <t>SIGNAL: 🔴 RED</t>
        </is>
      </c>
    </row>
    <row r="55" ht="16" customHeight="1">
      <c r="A55" s="186" t="inlineStr">
        <is>
          <t>Dimension</t>
        </is>
      </c>
      <c r="B55" s="186" t="inlineStr">
        <is>
          <t>Wt %</t>
        </is>
      </c>
      <c r="C55" s="186" t="inlineStr">
        <is>
          <t>Score (0–10)</t>
        </is>
      </c>
      <c r="D55" s="186" t="inlineStr">
        <is>
          <t>Wtd Contribution</t>
        </is>
      </c>
      <c r="E55" s="186" t="inlineStr">
        <is>
          <t>Key Signals Driving Score</t>
        </is>
      </c>
      <c r="F55" s="186" t="n"/>
      <c r="G55" s="186" t="n"/>
      <c r="H55" s="186" t="inlineStr">
        <is>
          <t>Red Line?</t>
        </is>
      </c>
      <c r="I55" s="186" t="n"/>
    </row>
    <row r="56" ht="30" customHeight="1">
      <c r="A56" s="187" t="inlineStr">
        <is>
          <t>Credit &amp; Financial Health</t>
        </is>
      </c>
      <c r="B56" s="188" t="inlineStr">
        <is>
          <t>25%</t>
        </is>
      </c>
      <c r="C56" s="197" t="inlineStr">
        <is>
          <t>7/10</t>
        </is>
      </c>
      <c r="D56" s="197" t="inlineStr">
        <is>
          <t>17.5</t>
        </is>
      </c>
      <c r="E56" s="40" t="inlineStr">
        <is>
          <t>EDF-X PD: 3.8%. Ratings: B1 Negative. Leverage 5.8x. Revenue declining 3yr. Earnings quality: low.</t>
        </is>
      </c>
      <c r="F56" s="56" t="n"/>
      <c r="G56" s="57" t="n"/>
      <c r="H56" s="190" t="n"/>
      <c r="I56" s="57" t="n"/>
    </row>
    <row r="57" ht="30" customHeight="1">
      <c r="A57" s="187" t="inlineStr">
        <is>
          <t>Corporate Governance</t>
        </is>
      </c>
      <c r="B57" s="188" t="inlineStr">
        <is>
          <t>20%</t>
        </is>
      </c>
      <c r="C57" s="189" t="inlineStr">
        <is>
          <t>5/10</t>
        </is>
      </c>
      <c r="D57" s="189" t="inlineStr">
        <is>
          <t>10.0</t>
        </is>
      </c>
      <c r="E57" s="40" t="inlineStr">
        <is>
          <t>Board: 60% independent. CFO departed 4 months ago (replacement interim). Auditor: Big 4 retained.</t>
        </is>
      </c>
      <c r="F57" s="56" t="n"/>
      <c r="G57" s="57" t="n"/>
      <c r="H57" s="190" t="n"/>
      <c r="I57" s="57" t="n"/>
    </row>
    <row r="58" ht="30" customHeight="1">
      <c r="A58" s="187" t="inlineStr">
        <is>
          <t>Litigation &amp; Conduct</t>
        </is>
      </c>
      <c r="B58" s="188" t="inlineStr">
        <is>
          <t>20%</t>
        </is>
      </c>
      <c r="C58" s="189" t="inlineStr">
        <is>
          <t>5/10</t>
        </is>
      </c>
      <c r="D58" s="189" t="inlineStr">
        <is>
          <t>10.0</t>
        </is>
      </c>
      <c r="E58" s="40" t="inlineStr">
        <is>
          <t>1 prior D&amp;O claim 2yr ago (settled $1.8M). RDC/GRID: moderate adverse news re: store closures.</t>
        </is>
      </c>
      <c r="F58" s="56" t="n"/>
      <c r="G58" s="57" t="n"/>
      <c r="H58" s="190" t="n"/>
      <c r="I58" s="57" t="n"/>
    </row>
    <row r="59" ht="30" customHeight="1">
      <c r="A59" s="187" t="inlineStr">
        <is>
          <t>Market &amp; Shareholder</t>
        </is>
      </c>
      <c r="B59" s="188" t="inlineStr">
        <is>
          <t>15%</t>
        </is>
      </c>
      <c r="C59" s="197" t="inlineStr">
        <is>
          <t>8/10</t>
        </is>
      </c>
      <c r="D59" s="197" t="inlineStr">
        <is>
          <t>12.0</t>
        </is>
      </c>
      <c r="E59" s="40" t="inlineStr">
        <is>
          <t>Share price -44% in 12mo. Short interest: 12% of float. Activist hedge fund disclosed 8% stake.</t>
        </is>
      </c>
      <c r="F59" s="56" t="n"/>
      <c r="G59" s="57" t="n"/>
      <c r="H59" s="190" t="n"/>
      <c r="I59" s="57" t="n"/>
    </row>
    <row r="60" ht="30" customHeight="1">
      <c r="A60" s="187" t="inlineStr">
        <is>
          <t>Sector &amp; Macro Risk</t>
        </is>
      </c>
      <c r="B60" s="188" t="inlineStr">
        <is>
          <t>10%</t>
        </is>
      </c>
      <c r="C60" s="197" t="inlineStr">
        <is>
          <t>7/10</t>
        </is>
      </c>
      <c r="D60" s="197" t="inlineStr">
        <is>
          <t>7.0</t>
        </is>
      </c>
      <c r="E60" s="40" t="inlineStr">
        <is>
          <t>Retail sector: Economy.com outlook: contracting. Structural headwinds from e-commerce.</t>
        </is>
      </c>
      <c r="F60" s="56" t="n"/>
      <c r="G60" s="57" t="n"/>
      <c r="H60" s="190" t="n"/>
      <c r="I60" s="57" t="n"/>
    </row>
    <row r="61" ht="30" customHeight="1">
      <c r="A61" s="187" t="inlineStr">
        <is>
          <t>Cyber &amp; ESG</t>
        </is>
      </c>
      <c r="B61" s="188" t="inlineStr">
        <is>
          <t>7%</t>
        </is>
      </c>
      <c r="C61" s="189" t="inlineStr">
        <is>
          <t>4/10</t>
        </is>
      </c>
      <c r="D61" s="189" t="inlineStr">
        <is>
          <t>2.8</t>
        </is>
      </c>
      <c r="E61" s="40" t="inlineStr">
        <is>
          <t>BitSight: 620. Grade C. Two unpatched critical CVEs identified. ESG: minor supply chain controversy.</t>
        </is>
      </c>
      <c r="F61" s="56" t="n"/>
      <c r="G61" s="57" t="n"/>
      <c r="H61" s="190" t="n"/>
      <c r="I61" s="57" t="n"/>
    </row>
    <row r="62" ht="30" customHeight="1">
      <c r="A62" s="187" t="inlineStr">
        <is>
          <t>Geographic &amp; Sanctions</t>
        </is>
      </c>
      <c r="B62" s="188" t="inlineStr">
        <is>
          <t>3%</t>
        </is>
      </c>
      <c r="C62" s="191" t="inlineStr">
        <is>
          <t>2/10</t>
        </is>
      </c>
      <c r="D62" s="191" t="inlineStr">
        <is>
          <t>0.6</t>
        </is>
      </c>
      <c r="E62" s="40" t="inlineStr">
        <is>
          <t>UK/EU/US operations. All screens clear. No OFAC exposure.</t>
        </is>
      </c>
      <c r="F62" s="56" t="n"/>
      <c r="G62" s="57" t="n"/>
      <c r="H62" s="190" t="n"/>
      <c r="I62" s="57" t="n"/>
    </row>
    <row r="63" ht="24" customHeight="1">
      <c r="A63" s="198" t="inlineStr">
        <is>
          <t>COMPOSITE SCORE</t>
        </is>
      </c>
      <c r="B63" s="57" t="n"/>
      <c r="C63" s="199" t="inlineStr">
        <is>
          <t>64/100</t>
        </is>
      </c>
      <c r="D63" s="200" t="inlineStr">
        <is>
          <t>→ 🔴 RED</t>
        </is>
      </c>
      <c r="E63" s="201" t="inlineStr">
        <is>
          <t>ACTION: Refer to senior UW. High retention required. Consider limits cap. Review CFO departure carefully.</t>
        </is>
      </c>
      <c r="F63" s="56" t="n"/>
      <c r="G63" s="56" t="n"/>
      <c r="H63" s="56" t="n"/>
      <c r="I63" s="57" t="n"/>
    </row>
    <row r="64" ht="5" customHeight="1"/>
    <row r="65" ht="20" customHeight="1">
      <c r="A65" s="184" t="inlineStr">
        <is>
          <t xml:space="preserve">  SCENARIO 3 — CapitaFin Bank  |  Mid-size regional bank, $8B assets, active FDIC investigation, material restatement 18mo ago</t>
        </is>
      </c>
      <c r="H65" s="202" t="inlineStr">
        <is>
          <t>SIGNAL: ⛔ BLACK</t>
        </is>
      </c>
    </row>
    <row r="66" ht="16" customHeight="1">
      <c r="A66" s="186" t="inlineStr">
        <is>
          <t>Dimension</t>
        </is>
      </c>
      <c r="B66" s="186" t="inlineStr">
        <is>
          <t>Wt %</t>
        </is>
      </c>
      <c r="C66" s="186" t="inlineStr">
        <is>
          <t>Score (0–10)</t>
        </is>
      </c>
      <c r="D66" s="186" t="inlineStr">
        <is>
          <t>Wtd Contribution</t>
        </is>
      </c>
      <c r="E66" s="186" t="inlineStr">
        <is>
          <t>Key Signals Driving Score</t>
        </is>
      </c>
      <c r="F66" s="186" t="n"/>
      <c r="G66" s="186" t="n"/>
      <c r="H66" s="186" t="inlineStr">
        <is>
          <t>Red Line?</t>
        </is>
      </c>
      <c r="I66" s="186" t="n"/>
    </row>
    <row r="67" ht="30" customHeight="1">
      <c r="A67" s="187" t="inlineStr">
        <is>
          <t>Credit &amp; Financial Health</t>
        </is>
      </c>
      <c r="B67" s="188" t="inlineStr">
        <is>
          <t>25%</t>
        </is>
      </c>
      <c r="C67" s="197" t="inlineStr">
        <is>
          <t>9/10</t>
        </is>
      </c>
      <c r="D67" s="197" t="inlineStr">
        <is>
          <t>22.5</t>
        </is>
      </c>
      <c r="E67" s="40" t="inlineStr">
        <is>
          <t>EDF-X PD: 7.2%. Going concern watch. Ratings: Caa2, on Review for Downgrade. Leverage extreme.</t>
        </is>
      </c>
      <c r="F67" s="56" t="n"/>
      <c r="G67" s="57" t="n"/>
      <c r="H67" s="190" t="n"/>
      <c r="I67" s="57" t="n"/>
    </row>
    <row r="68" ht="30" customHeight="1">
      <c r="A68" s="187" t="inlineStr">
        <is>
          <t>Corporate Governance</t>
        </is>
      </c>
      <c r="B68" s="188" t="inlineStr">
        <is>
          <t>20%</t>
        </is>
      </c>
      <c r="C68" s="197" t="inlineStr">
        <is>
          <t>8/10</t>
        </is>
      </c>
      <c r="D68" s="197" t="inlineStr">
        <is>
          <t>16.0</t>
        </is>
      </c>
      <c r="E68" s="40" t="inlineStr">
        <is>
          <t>Board turnover: 4 of 7 directors replaced in 18mo. Audit committee chair resigned. Mid-tier auditor.</t>
        </is>
      </c>
      <c r="F68" s="56" t="n"/>
      <c r="G68" s="57" t="n"/>
      <c r="H68" s="190" t="n"/>
      <c r="I68" s="57" t="n"/>
    </row>
    <row r="69" ht="30" customHeight="1">
      <c r="A69" s="187" t="inlineStr">
        <is>
          <t>Litigation &amp; Conduct</t>
        </is>
      </c>
      <c r="B69" s="188" t="inlineStr">
        <is>
          <t>20%</t>
        </is>
      </c>
      <c r="C69" s="197" t="inlineStr">
        <is>
          <t>10/10</t>
        </is>
      </c>
      <c r="D69" s="197" t="inlineStr">
        <is>
          <t>20.0</t>
        </is>
      </c>
      <c r="E69" s="40" t="inlineStr">
        <is>
          <t>Active FDIC formal investigation. Material restatement (fraud-adjacent, 18mo ago). 2 open D&amp;O claims.</t>
        </is>
      </c>
      <c r="F69" s="56" t="n"/>
      <c r="G69" s="57" t="n"/>
      <c r="H69" s="167" t="inlineStr">
        <is>
          <t>⛔ TWO RED LINES</t>
        </is>
      </c>
      <c r="I69" s="57" t="n"/>
    </row>
    <row r="70" ht="30" customHeight="1">
      <c r="A70" s="187" t="inlineStr">
        <is>
          <t>Market &amp; Shareholder</t>
        </is>
      </c>
      <c r="B70" s="188" t="inlineStr">
        <is>
          <t>15%</t>
        </is>
      </c>
      <c r="C70" s="197" t="inlineStr">
        <is>
          <t>9/10</t>
        </is>
      </c>
      <c r="D70" s="197" t="inlineStr">
        <is>
          <t>13.5</t>
        </is>
      </c>
      <c r="E70" s="40" t="inlineStr">
        <is>
          <t>Share price -68% in 12mo. Short interest 19%. Securities class action filed Q3. Trading halted twice.</t>
        </is>
      </c>
      <c r="F70" s="56" t="n"/>
      <c r="G70" s="57" t="n"/>
      <c r="H70" s="190" t="n"/>
      <c r="I70" s="57" t="n"/>
    </row>
    <row r="71" ht="30" customHeight="1">
      <c r="A71" s="187" t="inlineStr">
        <is>
          <t>Sector &amp; Macro Risk</t>
        </is>
      </c>
      <c r="B71" s="188" t="inlineStr">
        <is>
          <t>10%</t>
        </is>
      </c>
      <c r="C71" s="197" t="inlineStr">
        <is>
          <t>7/10</t>
        </is>
      </c>
      <c r="D71" s="197" t="inlineStr">
        <is>
          <t>7.0</t>
        </is>
      </c>
      <c r="E71" s="40" t="inlineStr">
        <is>
          <t>Financial services: extreme litigation sector. Economy.com: regional bank stress elevated post-SVB.</t>
        </is>
      </c>
      <c r="F71" s="56" t="n"/>
      <c r="G71" s="57" t="n"/>
      <c r="H71" s="190" t="n"/>
      <c r="I71" s="57" t="n"/>
    </row>
    <row r="72" ht="30" customHeight="1">
      <c r="A72" s="187" t="inlineStr">
        <is>
          <t>Cyber &amp; ESG</t>
        </is>
      </c>
      <c r="B72" s="188" t="inlineStr">
        <is>
          <t>7%</t>
        </is>
      </c>
      <c r="C72" s="189" t="inlineStr">
        <is>
          <t>6/10</t>
        </is>
      </c>
      <c r="D72" s="189" t="inlineStr">
        <is>
          <t>4.2</t>
        </is>
      </c>
      <c r="E72" s="40" t="inlineStr">
        <is>
          <t>BitSight: 580. Grade D. Data breach disclosure 8mo ago. ESG: governance controversy ongoing.</t>
        </is>
      </c>
      <c r="F72" s="56" t="n"/>
      <c r="G72" s="57" t="n"/>
      <c r="H72" s="190" t="n"/>
      <c r="I72" s="57" t="n"/>
    </row>
    <row r="73" ht="30" customHeight="1">
      <c r="A73" s="187" t="inlineStr">
        <is>
          <t>Geographic &amp; Sanctions</t>
        </is>
      </c>
      <c r="B73" s="188" t="inlineStr">
        <is>
          <t>3%</t>
        </is>
      </c>
      <c r="C73" s="191" t="inlineStr">
        <is>
          <t>2/10</t>
        </is>
      </c>
      <c r="D73" s="191" t="inlineStr">
        <is>
          <t>0.6</t>
        </is>
      </c>
      <c r="E73" s="40" t="inlineStr">
        <is>
          <t>US only. Screens clear at entity level. UBO screen: clean.</t>
        </is>
      </c>
      <c r="F73" s="56" t="n"/>
      <c r="G73" s="57" t="n"/>
      <c r="H73" s="190" t="n"/>
      <c r="I73" s="57" t="n"/>
    </row>
    <row r="74" ht="24" customHeight="1">
      <c r="A74" s="203" t="inlineStr">
        <is>
          <t>COMPOSITE SCORE</t>
        </is>
      </c>
      <c r="B74" s="57" t="n"/>
      <c r="C74" s="204" t="inlineStr">
        <is>
          <t>91/100</t>
        </is>
      </c>
      <c r="D74" s="205" t="inlineStr">
        <is>
          <t>→ ⛔ BLACK</t>
        </is>
      </c>
      <c r="E74" s="206" t="inlineStr">
        <is>
          <t>ACTION: DECLINE. Active regulatory investigation + material restatement = two simultaneous red lines. Refer to E&amp;S D&amp;O market.</t>
        </is>
      </c>
      <c r="F74" s="56" t="n"/>
      <c r="G74" s="56" t="n"/>
      <c r="H74" s="56" t="n"/>
      <c r="I74" s="57" t="n"/>
    </row>
    <row r="75" ht="5" customHeight="1"/>
  </sheetData>
  <mergeCells count="105">
    <mergeCell ref="H35:I35"/>
    <mergeCell ref="C7"/>
    <mergeCell ref="B6"/>
    <mergeCell ref="E7"/>
    <mergeCell ref="E52:I52"/>
    <mergeCell ref="B19:B23"/>
    <mergeCell ref="B29:B30"/>
    <mergeCell ref="H39:I39"/>
    <mergeCell ref="A27:A28"/>
    <mergeCell ref="A2:I2"/>
    <mergeCell ref="A33:I33"/>
    <mergeCell ref="A42:I42"/>
    <mergeCell ref="E57:G57"/>
    <mergeCell ref="A24:A26"/>
    <mergeCell ref="A74:B74"/>
    <mergeCell ref="C40:G40"/>
    <mergeCell ref="A6"/>
    <mergeCell ref="H45:I45"/>
    <mergeCell ref="H72:I72"/>
    <mergeCell ref="E58:G58"/>
    <mergeCell ref="H37:I37"/>
    <mergeCell ref="B15:B18"/>
    <mergeCell ref="H65:I65"/>
    <mergeCell ref="H62:I62"/>
    <mergeCell ref="H71:I71"/>
    <mergeCell ref="E6"/>
    <mergeCell ref="B10:B14"/>
    <mergeCell ref="B27:B28"/>
    <mergeCell ref="C34:G34"/>
    <mergeCell ref="E60:G60"/>
    <mergeCell ref="H54:I54"/>
    <mergeCell ref="E69:G69"/>
    <mergeCell ref="H50:I50"/>
    <mergeCell ref="B36"/>
    <mergeCell ref="E59:G59"/>
    <mergeCell ref="H56:I56"/>
    <mergeCell ref="E46:G46"/>
    <mergeCell ref="H34:I34"/>
    <mergeCell ref="H68:I68"/>
    <mergeCell ref="E61:G61"/>
    <mergeCell ref="H49:I49"/>
    <mergeCell ref="E70:G70"/>
    <mergeCell ref="H36:I36"/>
    <mergeCell ref="F6:I6"/>
    <mergeCell ref="H69:I69"/>
    <mergeCell ref="E72:G72"/>
    <mergeCell ref="A7"/>
    <mergeCell ref="B39"/>
    <mergeCell ref="E47:G47"/>
    <mergeCell ref="E56:G56"/>
    <mergeCell ref="A65:G65"/>
    <mergeCell ref="C39:G39"/>
    <mergeCell ref="E71:G71"/>
    <mergeCell ref="A52:B52"/>
    <mergeCell ref="H48:I48"/>
    <mergeCell ref="C38:G38"/>
    <mergeCell ref="A63:B63"/>
    <mergeCell ref="D7"/>
    <mergeCell ref="A1:I1"/>
    <mergeCell ref="E73:G73"/>
    <mergeCell ref="H38:I38"/>
    <mergeCell ref="H43:I43"/>
    <mergeCell ref="A3:I3"/>
    <mergeCell ref="B24:B26"/>
    <mergeCell ref="A43:G43"/>
    <mergeCell ref="H58:I58"/>
    <mergeCell ref="H40:I40"/>
    <mergeCell ref="B35"/>
    <mergeCell ref="C35:G35"/>
    <mergeCell ref="H73:I73"/>
    <mergeCell ref="A5:I5"/>
    <mergeCell ref="E45:G45"/>
    <mergeCell ref="H60:I60"/>
    <mergeCell ref="A10:A14"/>
    <mergeCell ref="C6"/>
    <mergeCell ref="A19:A23"/>
    <mergeCell ref="A4:I4"/>
    <mergeCell ref="E74:I74"/>
    <mergeCell ref="F7:I7"/>
    <mergeCell ref="D6"/>
    <mergeCell ref="H57:I57"/>
    <mergeCell ref="E62:G62"/>
    <mergeCell ref="B38"/>
    <mergeCell ref="C37:G37"/>
    <mergeCell ref="A15:A18"/>
    <mergeCell ref="E51:G51"/>
    <mergeCell ref="H67:I67"/>
    <mergeCell ref="B40"/>
    <mergeCell ref="H59:I59"/>
    <mergeCell ref="E49:G49"/>
    <mergeCell ref="H46:I46"/>
    <mergeCell ref="B7"/>
    <mergeCell ref="H51:I51"/>
    <mergeCell ref="E63:I63"/>
    <mergeCell ref="H61:I61"/>
    <mergeCell ref="H70:I70"/>
    <mergeCell ref="A29:A30"/>
    <mergeCell ref="E50:G50"/>
    <mergeCell ref="A54:G54"/>
    <mergeCell ref="C36:G36"/>
    <mergeCell ref="H47:I47"/>
    <mergeCell ref="E68:G68"/>
    <mergeCell ref="E67:G67"/>
    <mergeCell ref="E48:G48"/>
    <mergeCell ref="B37"/>
  </mergeCells>
  <pageMargins left="0.75" right="0.75" top="1" bottom="1" header="0.5" footer="0.5"/>
</worksheet>
</file>

<file path=xl/worksheets/sheet16.xml><?xml version="1.0" encoding="utf-8"?>
<worksheet xmlns="http://schemas.openxmlformats.org/spreadsheetml/2006/main">
  <sheetPr>
    <tabColor rgb="00744210"/>
    <outlinePr summaryBelow="1" summaryRight="1"/>
    <pageSetUpPr/>
  </sheetPr>
  <dimension ref="A1:I49"/>
  <sheetViews>
    <sheetView showGridLines="0" workbookViewId="0">
      <pane ySplit="9" topLeftCell="A10" activePane="bottomLeft" state="frozen"/>
      <selection pane="bottomLeft" activeCell="A1" sqref="A1"/>
    </sheetView>
  </sheetViews>
  <sheetFormatPr baseColWidth="8" defaultRowHeight="15"/>
  <cols>
    <col width="20" customWidth="1" min="1" max="1"/>
    <col width="10" customWidth="1" min="2" max="2"/>
    <col width="28" customWidth="1" min="3" max="3"/>
    <col width="26" customWidth="1" min="4" max="4"/>
    <col width="38" customWidth="1" min="5" max="5"/>
    <col width="28" customWidth="1" min="6" max="6"/>
    <col width="28" customWidth="1" min="7" max="7"/>
    <col width="28" customWidth="1" min="8" max="8"/>
    <col width="14" customWidth="1" min="9" max="9"/>
  </cols>
  <sheetData>
    <row r="1" ht="40" customHeight="1">
      <c r="A1" s="94" t="inlineStr">
        <is>
          <t xml:space="preserve">  Trade Credit Risk Signal Model  |  Risk Signal Model</t>
        </is>
      </c>
    </row>
    <row r="2" ht="16" customHeight="1">
      <c r="A2" s="155" t="inlineStr">
        <is>
          <t xml:space="preserve">  Risk signal for buyer portfolio credit quality, country risk, and policyholder moral hazard screening</t>
        </is>
      </c>
    </row>
    <row r="3" ht="14" customHeight="1">
      <c r="A3" s="134" t="inlineStr">
        <is>
          <t xml:space="preserve">  Typical clients: Exporters, manufacturers, distributors, banks with trade finance, factoring companies</t>
        </is>
      </c>
    </row>
    <row r="4" ht="4" customHeight="1">
      <c r="A4" s="33" t="n"/>
    </row>
    <row r="5" ht="14" customHeight="1">
      <c r="A5" s="115" t="inlineStr">
        <is>
          <t xml:space="preserve">  AUTO-ENRICHMENT → SCORING → SIGNAL FLOW</t>
        </is>
      </c>
    </row>
    <row r="6" ht="24" customHeight="1">
      <c r="A6" s="116" t="inlineStr">
        <is>
          <t xml:space="preserve">  1. Policyholder Received  ▶</t>
        </is>
      </c>
      <c r="B6" s="117" t="inlineStr">
        <is>
          <t xml:space="preserve">  2. Buyer Portfolio Enrich  ▶</t>
        </is>
      </c>
      <c r="C6" s="116" t="inlineStr">
        <is>
          <t xml:space="preserve">  3. Country Screen  ▶</t>
        </is>
      </c>
      <c r="D6" s="117" t="inlineStr">
        <is>
          <t xml:space="preserve">  4. Score 5 Dimensions  ▶</t>
        </is>
      </c>
      <c r="E6" s="116" t="inlineStr">
        <is>
          <t xml:space="preserve">  5. Red Line Check  ▶</t>
        </is>
      </c>
      <c r="F6" s="117" t="inlineStr">
        <is>
          <t xml:space="preserve">  6. Signal + Limit</t>
        </is>
      </c>
    </row>
    <row r="7" ht="24" customHeight="1">
      <c r="A7" s="118" t="inlineStr">
        <is>
          <t xml:space="preserve">  Seller profile + AR portfolio + named buyers + country exposure</t>
        </is>
      </c>
      <c r="B7" s="118" t="inlineStr">
        <is>
          <t xml:space="preserve">  EDF-X PD for all buyers + Cortera delinquency + Orbis buyer financials</t>
        </is>
      </c>
      <c r="C7" s="118" t="inlineStr">
        <is>
          <t xml:space="preserve">  Economy.com sovereign risk + Ratings + RDC/GRID sanctions all buyers</t>
        </is>
      </c>
      <c r="D7" s="118" t="inlineStr">
        <is>
          <t xml:space="preserve">  Portfolio credit quality + country risk + PH health + structure + macro</t>
        </is>
      </c>
      <c r="E7" s="118" t="inlineStr">
        <is>
          <t xml:space="preserve">  Sanctioned buyer / country moratorium → automatic BLACK</t>
        </is>
      </c>
      <c r="F7" s="118" t="inlineStr">
        <is>
          <t xml:space="preserve">  RAG signal + per-buyer limit indication → UW</t>
        </is>
      </c>
    </row>
    <row r="8" ht="5" customHeight="1"/>
    <row r="9" ht="28" customHeight="1">
      <c r="A9" s="156" t="inlineStr">
        <is>
          <t>Risk Dimension</t>
        </is>
      </c>
      <c r="B9" s="156" t="inlineStr">
        <is>
          <t>Weight</t>
        </is>
      </c>
      <c r="C9" s="156" t="inlineStr">
        <is>
          <t>Signal / Feature</t>
        </is>
      </c>
      <c r="D9" s="156" t="inlineStr">
        <is>
          <t>Moody's Data Source</t>
        </is>
      </c>
      <c r="E9" s="156" t="inlineStr">
        <is>
          <t>Scoring Logic (0–10 scale)</t>
        </is>
      </c>
      <c r="F9" s="156" t="inlineStr">
        <is>
          <t>🟢 Low Risk (0–3)</t>
        </is>
      </c>
      <c r="G9" s="156" t="inlineStr">
        <is>
          <t>🟡 Moderate (4–6)</t>
        </is>
      </c>
      <c r="H9" s="156" t="inlineStr">
        <is>
          <t>🔴 High Risk (7–10)</t>
        </is>
      </c>
      <c r="I9" s="157" t="inlineStr">
        <is>
          <t>Auto Red Line?</t>
        </is>
      </c>
    </row>
    <row r="10" ht="40" customHeight="1">
      <c r="A10" s="158" t="inlineStr">
        <is>
          <t>Buyer Portfolio Credit Quality</t>
        </is>
      </c>
      <c r="B10" s="159" t="inlineStr">
        <is>
          <t>35%</t>
        </is>
      </c>
      <c r="C10" s="40" t="inlineStr">
        <is>
          <t>Weighted Avg Buyer EDF-X PD</t>
        </is>
      </c>
      <c r="D10" s="124" t="inlineStr">
        <is>
          <t>EDF-X PD model across buyer portfolio (public + private models)</t>
        </is>
      </c>
      <c r="E10" s="160" t="inlineStr">
        <is>
          <t>Wtd avg PD &lt;1%→1 | 1–3%→4 | 3–6%→7 | &gt;6%→9</t>
        </is>
      </c>
      <c r="F10" s="161" t="inlineStr">
        <is>
          <t>Wtd avg PD &lt;1%. Most buyers investment-grade equivalent.</t>
        </is>
      </c>
      <c r="G10" s="162" t="inlineStr">
        <is>
          <t>Wtd avg PD 1–3%. Mix of IG and HY buyers. Some concentration risk.</t>
        </is>
      </c>
      <c r="H10" s="163" t="inlineStr">
        <is>
          <t>Wtd avg PD &gt;6%. Dominated by sub-IG buyers. Portfolio stress likely.</t>
        </is>
      </c>
      <c r="I10" s="164" t="n"/>
    </row>
    <row r="11" ht="40" customHeight="1">
      <c r="A11" s="165" t="n"/>
      <c r="B11" s="165" t="n"/>
      <c r="C11" s="40" t="inlineStr">
        <is>
          <t>Cortera Delinquency Rate (Buyer Portfolio)</t>
        </is>
      </c>
      <c r="D11" s="124" t="inlineStr">
        <is>
          <t>Cortera trade payment data — Days Beyond Terms (DBT) across buyers</t>
        </is>
      </c>
      <c r="E11" s="160" t="inlineStr">
        <is>
          <t>DBT avg &lt;5 days→1 | 5–15→4 | 15–30→7 | &gt;30 days→9</t>
        </is>
      </c>
      <c r="F11" s="161" t="inlineStr">
        <is>
          <t>Buyers paying within 5 days of terms. Payment acceleration trend.</t>
        </is>
      </c>
      <c r="G11" s="162" t="inlineStr">
        <is>
          <t>DBT 5–15 days. Some slowdown. Monitoring active.</t>
        </is>
      </c>
      <c r="H11" s="163" t="inlineStr">
        <is>
          <t>DBT &gt;30 days. Payment behavior deteriorating. Claims precursor signal.</t>
        </is>
      </c>
      <c r="I11" s="164" t="n"/>
    </row>
    <row r="12" ht="40" customHeight="1">
      <c r="A12" s="165" t="n"/>
      <c r="B12" s="165" t="n"/>
      <c r="C12" s="40" t="inlineStr">
        <is>
          <t>% Buyers Below Investment Grade (EDF-X)</t>
        </is>
      </c>
      <c r="D12" s="124" t="inlineStr">
        <is>
          <t>EDF-X implied ratings for all buyers in portfolio</t>
        </is>
      </c>
      <c r="E12" s="160" t="inlineStr">
        <is>
          <t>&lt;20% sub-IG→1 | 20–40%→4 | 40–60%→7 | &gt;60%→9</t>
        </is>
      </c>
      <c r="F12" s="161" t="inlineStr">
        <is>
          <t>&lt;20% of portfolio sub-investment grade by EDF-X implied rating.</t>
        </is>
      </c>
      <c r="G12" s="162" t="inlineStr">
        <is>
          <t>20–40% sub-IG. Elevated but manageable with adequate retention.</t>
        </is>
      </c>
      <c r="H12" s="163" t="inlineStr">
        <is>
          <t>&gt;60% of buyers below investment grade. Portfolio highly correlated to distress cycle.</t>
        </is>
      </c>
      <c r="I12" s="164" t="n"/>
    </row>
    <row r="13" ht="40" customHeight="1">
      <c r="A13" s="166" t="n"/>
      <c r="B13" s="166" t="n"/>
      <c r="C13" s="40" t="inlineStr">
        <is>
          <t>Buyer Concentration (HHI / Top Buyer %)</t>
        </is>
      </c>
      <c r="D13" s="124" t="inlineStr">
        <is>
          <t>Orbis entity data + policyholder AR portfolio</t>
        </is>
      </c>
      <c r="E13" s="160" t="inlineStr">
        <is>
          <t>Top buyer &lt;10% AR→1 | 10–20%→4 | 20–35%→7 | &gt;35%→9</t>
        </is>
      </c>
      <c r="F13" s="161" t="inlineStr">
        <is>
          <t>Highly diversified. No single buyer &gt;10% of AR. Low correlation risk.</t>
        </is>
      </c>
      <c r="G13" s="162" t="inlineStr">
        <is>
          <t>Top buyer 10–20%. Manageable concentration. Sub-limit may apply.</t>
        </is>
      </c>
      <c r="H13" s="163" t="inlineStr">
        <is>
          <t>Single buyer &gt;35% of total AR. One default = portfolio-level loss.</t>
        </is>
      </c>
      <c r="I13" s="164" t="n"/>
    </row>
    <row r="14" ht="40" customHeight="1">
      <c r="A14" s="168" t="inlineStr">
        <is>
          <t>Country &amp; Political Risk</t>
        </is>
      </c>
      <c r="B14" s="169" t="inlineStr">
        <is>
          <t>25%</t>
        </is>
      </c>
      <c r="C14" s="40" t="inlineStr">
        <is>
          <t>Sovereign Credit Rating (Buyer Country)</t>
        </is>
      </c>
      <c r="D14" s="124" t="inlineStr">
        <is>
          <t>Moody's Ratings — sovereign + Economy.com country risk score</t>
        </is>
      </c>
      <c r="E14" s="160" t="inlineStr">
        <is>
          <t>Aaa–Baa3→1 | Ba1–B3→5 | Caa+→8 | OFAC/Sanctioned→10</t>
        </is>
      </c>
      <c r="F14" s="161" t="inlineStr">
        <is>
          <t>All buyers in OECD investment-grade countries. Low political risk.</t>
        </is>
      </c>
      <c r="G14" s="162" t="inlineStr">
        <is>
          <t>Some EM exposure (BB-range countries). Political risk premium warranted.</t>
        </is>
      </c>
      <c r="H14" s="163" t="inlineStr">
        <is>
          <t>Significant exposure to Caa-rated or distressed sovereigns.</t>
        </is>
      </c>
      <c r="I14" s="167" t="inlineStr">
        <is>
          <t>⛔ Sanctioned country buyers = automatic BLACK</t>
        </is>
      </c>
    </row>
    <row r="15" ht="40" customHeight="1">
      <c r="A15" s="165" t="n"/>
      <c r="B15" s="165" t="n"/>
      <c r="C15" s="40" t="inlineStr">
        <is>
          <t>Currency Convertibility Risk</t>
        </is>
      </c>
      <c r="D15" s="124" t="inlineStr">
        <is>
          <t>Economy.com FX/BOP data + Ratings foreign currency rating</t>
        </is>
      </c>
      <c r="E15" s="160" t="inlineStr">
        <is>
          <t>Free convertibility→1 | Soft controls→4 | Active controls→7 | Moratorium risk→9</t>
        </is>
      </c>
      <c r="F15" s="161" t="inlineStr">
        <is>
          <t>All buyers in freely convertible currencies. FX reserves adequate.</t>
        </is>
      </c>
      <c r="G15" s="162" t="inlineStr">
        <is>
          <t>Some soft currency exposure. FX reserves declining but &gt;3 months import cover.</t>
        </is>
      </c>
      <c r="H15" s="163" t="inlineStr">
        <is>
          <t>Active currency controls. FX reserves &lt;2 months. Transfer/moratorium risk elevated.</t>
        </is>
      </c>
      <c r="I15" s="164" t="n"/>
    </row>
    <row r="16" ht="40" customHeight="1">
      <c r="A16" s="166" t="n"/>
      <c r="B16" s="166" t="n"/>
      <c r="C16" s="40" t="inlineStr">
        <is>
          <t>Sanctions Exposure — Buyers &amp; Countries</t>
        </is>
      </c>
      <c r="D16" s="124" t="inlineStr">
        <is>
          <t>RDC/GRID — entity + UBO screen for all named buyers</t>
        </is>
      </c>
      <c r="E16" s="160" t="inlineStr">
        <is>
          <t>All clear→0 | One watchlist match→4 | PEP buyer→6 | Sanctions hit→10</t>
        </is>
      </c>
      <c r="F16" s="161" t="inlineStr">
        <is>
          <t>All buyer screens clear. No OFAC/EU/UN exposure.</t>
        </is>
      </c>
      <c r="G16" s="162" t="inlineStr">
        <is>
          <t>One buyer on secondary watchlist (not primary sanctions). Enhanced monitoring.</t>
        </is>
      </c>
      <c r="H16" s="163" t="inlineStr">
        <is>
          <t>Sanctioned UBO identified on buyer corporate tree. Policy exclusion required.</t>
        </is>
      </c>
      <c r="I16" s="167" t="inlineStr">
        <is>
          <t>⛔ Sanctioned buyer = automatic BLACK for that limit</t>
        </is>
      </c>
    </row>
    <row r="17" ht="40" customHeight="1">
      <c r="A17" s="170" t="inlineStr">
        <is>
          <t>Policyholder Financial Health</t>
        </is>
      </c>
      <c r="B17" s="171" t="inlineStr">
        <is>
          <t>15%</t>
        </is>
      </c>
      <c r="C17" s="40" t="inlineStr">
        <is>
          <t>Policyholder EDF-X PD</t>
        </is>
      </c>
      <c r="D17" s="124" t="inlineStr">
        <is>
          <t>EDF-X (public or private model for the seller/policyholder)</t>
        </is>
      </c>
      <c r="E17" s="160" t="inlineStr">
        <is>
          <t>PD &lt;1%→1 | 1–3%→4 | 3–6%→7 | &gt;6%→10</t>
        </is>
      </c>
      <c r="F17" s="161" t="inlineStr">
        <is>
          <t>Financially healthy seller. Low moral hazard risk.</t>
        </is>
      </c>
      <c r="G17" s="162" t="inlineStr">
        <is>
          <t>Moderate credit risk. Seller may have incentive to ship to weaker buyers.</t>
        </is>
      </c>
      <c r="H17" s="163" t="inlineStr">
        <is>
          <t>Distressed seller. High moral hazard. Aggressive AR growth with weak buyers.</t>
        </is>
      </c>
      <c r="I17" s="164" t="n"/>
    </row>
    <row r="18" ht="40" customHeight="1">
      <c r="A18" s="166" t="n"/>
      <c r="B18" s="166" t="n"/>
      <c r="C18" s="40" t="inlineStr">
        <is>
          <t>Days Sales Outstanding (DSO) Trend</t>
        </is>
      </c>
      <c r="D18" s="124" t="inlineStr">
        <is>
          <t>Cortera payment data + policyholder CFO attestation</t>
        </is>
      </c>
      <c r="E18" s="160" t="inlineStr">
        <is>
          <t>Declining DSO→1 | Stable±5days→3 | Rising 5–15days→6 | Rising &gt;15days→9</t>
        </is>
      </c>
      <c r="F18" s="161" t="inlineStr">
        <is>
          <t>DSO declining or stable. Collections improving. Cash conversion cycle tight.</t>
        </is>
      </c>
      <c r="G18" s="162" t="inlineStr">
        <is>
          <t>DSO rising 5–10 days. Some buyer stress visible in payment patterns.</t>
        </is>
      </c>
      <c r="H18" s="163" t="inlineStr">
        <is>
          <t>DSO rising &gt;15 days. Portfolio-wide stress. Claims precursor signal.</t>
        </is>
      </c>
      <c r="I18" s="164" t="n"/>
    </row>
    <row r="19" ht="40" customHeight="1">
      <c r="A19" s="172" t="inlineStr">
        <is>
          <t>Portfolio Structure</t>
        </is>
      </c>
      <c r="B19" s="173" t="inlineStr">
        <is>
          <t>15%</t>
        </is>
      </c>
      <c r="C19" s="40" t="inlineStr">
        <is>
          <t>Industry Concentration of Buyer Portfolio</t>
        </is>
      </c>
      <c r="D19" s="124" t="inlineStr">
        <is>
          <t>Orbis SIC classification + Economy.com sector stress</t>
        </is>
      </c>
      <c r="E19" s="160" t="inlineStr">
        <is>
          <t>Diversified (&lt;25% any sector)→1 | Moderate concentration→4 | Single sector &gt;50%→7 | Distressed sector→9</t>
        </is>
      </c>
      <c r="F19" s="161" t="inlineStr">
        <is>
          <t>Well-diversified across sectors. No sector &gt;25% of portfolio.</t>
        </is>
      </c>
      <c r="G19" s="162" t="inlineStr">
        <is>
          <t>Some concentration in one sector (25–40%). Sector outlook: stable.</t>
        </is>
      </c>
      <c r="H19" s="163" t="inlineStr">
        <is>
          <t>&gt;50% concentration in one sector + sector under economic stress.</t>
        </is>
      </c>
      <c r="I19" s="164" t="n"/>
    </row>
    <row r="20" ht="40" customHeight="1">
      <c r="A20" s="166" t="n"/>
      <c r="B20" s="166" t="n"/>
      <c r="C20" s="40" t="inlineStr">
        <is>
          <t>Payment Terms vs. Industry Benchmark</t>
        </is>
      </c>
      <c r="D20" s="124" t="inlineStr">
        <is>
          <t>Cortera trade payment benchmarks + application</t>
        </is>
      </c>
      <c r="E20" s="160" t="inlineStr">
        <is>
          <t>Net 30 or better→1 | Net 60→3 | Net 90→6 | Net 120+→8</t>
        </is>
      </c>
      <c r="F20" s="161" t="inlineStr">
        <is>
          <t>Net 30 or spot terms. Short insolvency exposure window.</t>
        </is>
      </c>
      <c r="G20" s="162" t="inlineStr">
        <is>
          <t>Net 60. Industry standard. Acceptable with good buyer profile.</t>
        </is>
      </c>
      <c r="H20" s="163" t="inlineStr">
        <is>
          <t>Net 120+. Long exposure window increases buyer insolvency risk during term.</t>
        </is>
      </c>
      <c r="I20" s="164" t="n"/>
    </row>
    <row r="21" ht="40" customHeight="1">
      <c r="A21" s="174" t="inlineStr">
        <is>
          <t>Macro &amp; Sector Context</t>
        </is>
      </c>
      <c r="B21" s="175" t="inlineStr">
        <is>
          <t>10%</t>
        </is>
      </c>
      <c r="C21" s="40" t="inlineStr">
        <is>
          <t>GDP Growth in Buyer Markets</t>
        </is>
      </c>
      <c r="D21" s="124" t="inlineStr">
        <is>
          <t>Economy.com country/sector macro forecasts (12-month forward)</t>
        </is>
      </c>
      <c r="E21" s="160" t="inlineStr">
        <is>
          <t>GDP &gt;3%→1 | 1–3%→3 | 0–1%→6 | Recession (&lt;0%)→8 | Deep recession→10</t>
        </is>
      </c>
      <c r="F21" s="161" t="inlineStr">
        <is>
          <t>Buyer countries growing &gt;3%. Strong demand. Low distress cycle risk.</t>
        </is>
      </c>
      <c r="G21" s="162" t="inlineStr">
        <is>
          <t>Slow growth 0–2%. Some sectors stressed. Monitoring warranted.</t>
        </is>
      </c>
      <c r="H21" s="163" t="inlineStr">
        <is>
          <t>Buyer markets in recession. Historical claims spike in recessionary periods.</t>
        </is>
      </c>
      <c r="I21" s="164" t="n"/>
    </row>
    <row r="22" ht="40" customHeight="1">
      <c r="A22" s="166" t="n"/>
      <c r="B22" s="166" t="n"/>
      <c r="C22" s="40" t="inlineStr">
        <is>
          <t>Sector Default Rate Forecast</t>
        </is>
      </c>
      <c r="D22" s="124" t="inlineStr">
        <is>
          <t>Economy.com sector default forecasts + Moody's sector outlooks</t>
        </is>
      </c>
      <c r="E22" s="160" t="inlineStr">
        <is>
          <t>Below historical avg→1 | At avg→3 | 50%+ above avg→6 | Elevated cycle peak→9</t>
        </is>
      </c>
      <c r="F22" s="161" t="inlineStr">
        <is>
          <t>Default rates below 5-year average in buyer industries.</t>
        </is>
      </c>
      <c r="G22" s="162" t="inlineStr">
        <is>
          <t>Default rates at or slightly above average. Cycle position: mid-expansion.</t>
        </is>
      </c>
      <c r="H22" s="163" t="inlineStr">
        <is>
          <t>Default rates 50%+ above historical. Sector in stress cycle.</t>
        </is>
      </c>
      <c r="I22" s="164" t="n"/>
    </row>
    <row r="23" ht="5" customHeight="1"/>
    <row r="24" ht="16" customHeight="1">
      <c r="A24" s="136" t="inlineStr">
        <is>
          <t xml:space="preserve">  RED LINE RULES — AUTOMATIC SIGNAL OVERRIDE (Triggers ⛔ BLACK regardless of score)</t>
        </is>
      </c>
    </row>
    <row r="25" ht="20" customHeight="1">
      <c r="A25" s="180" t="inlineStr">
        <is>
          <t>#</t>
        </is>
      </c>
      <c r="B25" s="180" t="inlineStr">
        <is>
          <t>Red Line Condition</t>
        </is>
      </c>
      <c r="C25" s="180" t="inlineStr">
        <is>
          <t>Moody's Data Source That Identifies It</t>
        </is>
      </c>
      <c r="D25" s="56" t="n"/>
      <c r="E25" s="56" t="n"/>
      <c r="F25" s="56" t="n"/>
      <c r="G25" s="57" t="n"/>
      <c r="H25" s="180" t="inlineStr">
        <is>
          <t>Action</t>
        </is>
      </c>
      <c r="I25" s="57" t="n"/>
    </row>
    <row r="26" ht="28" customHeight="1">
      <c r="A26" s="181" t="inlineStr">
        <is>
          <t>1</t>
        </is>
      </c>
      <c r="B26" s="182" t="inlineStr">
        <is>
          <t>Any buyer or buyer's UBO on OFAC/EU/UN sanctions list</t>
        </is>
      </c>
      <c r="C26" s="183" t="inlineStr">
        <is>
          <t>RDC/GRID sanctions screen + Orbis UBO tree for each named buyer</t>
        </is>
      </c>
      <c r="D26" s="56" t="n"/>
      <c r="E26" s="56" t="n"/>
      <c r="F26" s="56" t="n"/>
      <c r="G26" s="57" t="n"/>
      <c r="H26" s="167" t="inlineStr">
        <is>
          <t>⛔ BLACK on that buyer limit. Policy exclusion mandatory. AML/compliance escalation.</t>
        </is>
      </c>
      <c r="I26" s="57" t="n"/>
    </row>
    <row r="27" ht="28" customHeight="1">
      <c r="A27" s="181" t="inlineStr">
        <is>
          <t>2</t>
        </is>
      </c>
      <c r="B27" s="182" t="inlineStr">
        <is>
          <t>Buyer country under active payment moratorium or transfer block</t>
        </is>
      </c>
      <c r="C27" s="183" t="inlineStr">
        <is>
          <t>Economy.com country risk + Moody's sovereign rating + RDC/GRID country news</t>
        </is>
      </c>
      <c r="D27" s="56" t="n"/>
      <c r="E27" s="56" t="n"/>
      <c r="F27" s="56" t="n"/>
      <c r="G27" s="57" t="n"/>
      <c r="H27" s="167" t="inlineStr">
        <is>
          <t>⛔ BLACK for all limits in that country. Political risk only may be available separately.</t>
        </is>
      </c>
      <c r="I27" s="57" t="n"/>
    </row>
    <row r="28" ht="28" customHeight="1">
      <c r="A28" s="181" t="inlineStr">
        <is>
          <t>3</t>
        </is>
      </c>
      <c r="B28" s="182" t="inlineStr">
        <is>
          <t>Buyer has filed for insolvency / bankruptcy / receivership (Cortera alert)</t>
        </is>
      </c>
      <c r="C28" s="183" t="inlineStr">
        <is>
          <t>Cortera real-time bankruptcy monitoring + RDC/GRID adverse news</t>
        </is>
      </c>
      <c r="D28" s="56" t="n"/>
      <c r="E28" s="56" t="n"/>
      <c r="F28" s="56" t="n"/>
      <c r="G28" s="57" t="n"/>
      <c r="H28" s="167" t="inlineStr">
        <is>
          <t>⛔ BLACK for that buyer immediately. Suspend credit limit. Initiate claims assessment.</t>
        </is>
      </c>
      <c r="I28" s="57" t="n"/>
    </row>
    <row r="29" ht="28" customHeight="1">
      <c r="A29" s="181" t="inlineStr">
        <is>
          <t>4</t>
        </is>
      </c>
      <c r="B29" s="182" t="inlineStr">
        <is>
          <t>Policyholder EDF-X PD &gt;8% (severe moral hazard)</t>
        </is>
      </c>
      <c r="C29" s="183" t="inlineStr">
        <is>
          <t>EDF-X private company model — distressed seller signal</t>
        </is>
      </c>
      <c r="D29" s="56" t="n"/>
      <c r="E29" s="56" t="n"/>
      <c r="F29" s="56" t="n"/>
      <c r="G29" s="57" t="n"/>
      <c r="H29" s="167" t="inlineStr">
        <is>
          <t>⛔ BLACK — Decline new business. Distressed seller = adverse selection risk too severe.</t>
        </is>
      </c>
      <c r="I29" s="57" t="n"/>
    </row>
    <row r="30" ht="28" customHeight="1">
      <c r="A30" s="181" t="inlineStr">
        <is>
          <t>5</t>
        </is>
      </c>
      <c r="B30" s="182" t="inlineStr">
        <is>
          <t>Single buyer &gt;50% of total AR portfolio</t>
        </is>
      </c>
      <c r="C30" s="183" t="inlineStr">
        <is>
          <t>Policyholder AR portfolio + Orbis buyer entity data</t>
        </is>
      </c>
      <c r="D30" s="56" t="n"/>
      <c r="E30" s="56" t="n"/>
      <c r="F30" s="56" t="n"/>
      <c r="G30" s="57" t="n"/>
      <c r="H30" s="167" t="inlineStr">
        <is>
          <t>⛔ RED or BLACK — Cannot write whole-turnover. Named buyer only with sub-limit.</t>
        </is>
      </c>
      <c r="I30" s="57" t="n"/>
    </row>
    <row r="31" ht="5" customHeight="1"/>
    <row r="32" ht="16" customHeight="1">
      <c r="A32" s="134" t="inlineStr">
        <is>
          <t xml:space="preserve">  HYPOTHETICAL SCORED SCENARIOS — Model In Action</t>
        </is>
      </c>
    </row>
    <row r="33" ht="20" customHeight="1">
      <c r="A33" s="184" t="inlineStr">
        <is>
          <t xml:space="preserve">  SCENARIO 1 — EuroExport GmbH  |  German auto parts exporter. Buyers: 80% EU (Baa-rated), 20% Turkey/Poland. $45M AR insured.</t>
        </is>
      </c>
      <c r="H33" s="207" t="inlineStr">
        <is>
          <t>SIGNAL: 🟢 GREEN</t>
        </is>
      </c>
    </row>
    <row r="34" ht="16" customHeight="1">
      <c r="A34" s="186" t="inlineStr">
        <is>
          <t>Dimension</t>
        </is>
      </c>
      <c r="B34" s="186" t="inlineStr">
        <is>
          <t>Wt %</t>
        </is>
      </c>
      <c r="C34" s="186" t="inlineStr">
        <is>
          <t>Score (0–10)</t>
        </is>
      </c>
      <c r="D34" s="186" t="inlineStr">
        <is>
          <t>Wtd Contribution</t>
        </is>
      </c>
      <c r="E34" s="186" t="inlineStr">
        <is>
          <t>Key Signals Driving Score</t>
        </is>
      </c>
      <c r="F34" s="186" t="n"/>
      <c r="G34" s="186" t="n"/>
      <c r="H34" s="186" t="inlineStr">
        <is>
          <t>Red Line?</t>
        </is>
      </c>
      <c r="I34" s="186" t="n"/>
    </row>
    <row r="35" ht="30" customHeight="1">
      <c r="A35" s="187" t="inlineStr">
        <is>
          <t>Buyer Portfolio Credit Quality</t>
        </is>
      </c>
      <c r="B35" s="188" t="inlineStr">
        <is>
          <t>35%</t>
        </is>
      </c>
      <c r="C35" s="191" t="inlineStr">
        <is>
          <t>2/10</t>
        </is>
      </c>
      <c r="D35" s="191" t="inlineStr">
        <is>
          <t>7.0</t>
        </is>
      </c>
      <c r="E35" s="40" t="inlineStr">
        <is>
          <t>Wtd avg EDF-X PD: 0.8%. Cortera DBT: 4 days avg. 85% buyers IG-equivalent. Top buyer: 14% AR.</t>
        </is>
      </c>
      <c r="F35" s="56" t="n"/>
      <c r="G35" s="57" t="n"/>
      <c r="H35" s="190" t="n"/>
      <c r="I35" s="57" t="n"/>
    </row>
    <row r="36" ht="30" customHeight="1">
      <c r="A36" s="187" t="inlineStr">
        <is>
          <t>Country &amp; Political Risk</t>
        </is>
      </c>
      <c r="B36" s="188" t="inlineStr">
        <is>
          <t>25%</t>
        </is>
      </c>
      <c r="C36" s="191" t="inlineStr">
        <is>
          <t>3/10</t>
        </is>
      </c>
      <c r="D36" s="191" t="inlineStr">
        <is>
          <t>7.5</t>
        </is>
      </c>
      <c r="E36" s="40" t="inlineStr">
        <is>
          <t>EU/OECD primary. Turkey: B2 sovereign. Poland: Baa1. Convertibility: good. All screens clear.</t>
        </is>
      </c>
      <c r="F36" s="56" t="n"/>
      <c r="G36" s="57" t="n"/>
      <c r="H36" s="190" t="n"/>
      <c r="I36" s="57" t="n"/>
    </row>
    <row r="37" ht="30" customHeight="1">
      <c r="A37" s="187" t="inlineStr">
        <is>
          <t>Policyholder Financial Health</t>
        </is>
      </c>
      <c r="B37" s="188" t="inlineStr">
        <is>
          <t>15%</t>
        </is>
      </c>
      <c r="C37" s="191" t="inlineStr">
        <is>
          <t>2/10</t>
        </is>
      </c>
      <c r="D37" s="191" t="inlineStr">
        <is>
          <t>3.0</t>
        </is>
      </c>
      <c r="E37" s="40" t="inlineStr">
        <is>
          <t>EDF-X PD: 0.6%. DSO: declining (52 days vs 58 days prior year). Financially solid.</t>
        </is>
      </c>
      <c r="F37" s="56" t="n"/>
      <c r="G37" s="57" t="n"/>
      <c r="H37" s="190" t="n"/>
      <c r="I37" s="57" t="n"/>
    </row>
    <row r="38" ht="30" customHeight="1">
      <c r="A38" s="187" t="inlineStr">
        <is>
          <t>Portfolio Structure</t>
        </is>
      </c>
      <c r="B38" s="188" t="inlineStr">
        <is>
          <t>15%</t>
        </is>
      </c>
      <c r="C38" s="191" t="inlineStr">
        <is>
          <t>3/10</t>
        </is>
      </c>
      <c r="D38" s="191" t="inlineStr">
        <is>
          <t>4.5</t>
        </is>
      </c>
      <c r="E38" s="40" t="inlineStr">
        <is>
          <t>Diversified across 12 sectors. Net 60 terms standard. Automotive sector: Economy.com outlook stable.</t>
        </is>
      </c>
      <c r="F38" s="56" t="n"/>
      <c r="G38" s="57" t="n"/>
      <c r="H38" s="190" t="n"/>
      <c r="I38" s="57" t="n"/>
    </row>
    <row r="39" ht="30" customHeight="1">
      <c r="A39" s="187" t="inlineStr">
        <is>
          <t>Macro &amp; Sector Context</t>
        </is>
      </c>
      <c r="B39" s="188" t="inlineStr">
        <is>
          <t>10%</t>
        </is>
      </c>
      <c r="C39" s="191" t="inlineStr">
        <is>
          <t>3/10</t>
        </is>
      </c>
      <c r="D39" s="191" t="inlineStr">
        <is>
          <t>3.0</t>
        </is>
      </c>
      <c r="E39" s="40" t="inlineStr">
        <is>
          <t>EU GDP: 2.1% forecast. Auto sector default rate: below 5yr avg. Economy.com: stable.</t>
        </is>
      </c>
      <c r="F39" s="56" t="n"/>
      <c r="G39" s="57" t="n"/>
      <c r="H39" s="190" t="n"/>
      <c r="I39" s="57" t="n"/>
    </row>
    <row r="40" ht="24" customHeight="1">
      <c r="A40" s="208" t="inlineStr">
        <is>
          <t>COMPOSITE SCORE</t>
        </is>
      </c>
      <c r="B40" s="57" t="n"/>
      <c r="C40" s="209" t="inlineStr">
        <is>
          <t>28/100</t>
        </is>
      </c>
      <c r="D40" s="41" t="inlineStr">
        <is>
          <t>→ 🟢 GREEN</t>
        </is>
      </c>
      <c r="E40" s="210" t="inlineStr">
        <is>
          <t>ACTION: Fast-track quote. Whole-turnover eligible. Standard retention applies. Minor Turkey sub-limit recommended.</t>
        </is>
      </c>
      <c r="F40" s="56" t="n"/>
      <c r="G40" s="56" t="n"/>
      <c r="H40" s="56" t="n"/>
      <c r="I40" s="57" t="n"/>
    </row>
    <row r="41" ht="5" customHeight="1"/>
    <row r="42" ht="20" customHeight="1">
      <c r="A42" s="184" t="inlineStr">
        <is>
          <t xml:space="preserve">  SCENARIO 2 — ChemCo Americas LLC  |  US chemical distributor. 60% buyers: US mid-market. 40% Latin America (Colombia, Argentina, Brazil).</t>
        </is>
      </c>
      <c r="H42" s="196" t="inlineStr">
        <is>
          <t>SIGNAL: 🔴 RED</t>
        </is>
      </c>
    </row>
    <row r="43" ht="16" customHeight="1">
      <c r="A43" s="186" t="inlineStr">
        <is>
          <t>Dimension</t>
        </is>
      </c>
      <c r="B43" s="186" t="inlineStr">
        <is>
          <t>Wt %</t>
        </is>
      </c>
      <c r="C43" s="186" t="inlineStr">
        <is>
          <t>Score (0–10)</t>
        </is>
      </c>
      <c r="D43" s="186" t="inlineStr">
        <is>
          <t>Wtd Contribution</t>
        </is>
      </c>
      <c r="E43" s="186" t="inlineStr">
        <is>
          <t>Key Signals Driving Score</t>
        </is>
      </c>
      <c r="F43" s="186" t="n"/>
      <c r="G43" s="186" t="n"/>
      <c r="H43" s="186" t="inlineStr">
        <is>
          <t>Red Line?</t>
        </is>
      </c>
      <c r="I43" s="186" t="n"/>
    </row>
    <row r="44" ht="30" customHeight="1">
      <c r="A44" s="187" t="inlineStr">
        <is>
          <t>Buyer Portfolio Credit Quality</t>
        </is>
      </c>
      <c r="B44" s="188" t="inlineStr">
        <is>
          <t>35%</t>
        </is>
      </c>
      <c r="C44" s="189" t="inlineStr">
        <is>
          <t>6/10</t>
        </is>
      </c>
      <c r="D44" s="189" t="inlineStr">
        <is>
          <t>21.0</t>
        </is>
      </c>
      <c r="E44" s="40" t="inlineStr">
        <is>
          <t>Wtd avg EDF-X PD: 3.1%. Cortera DBT: 18 days avg. 42% buyers sub-IG. Top buyer: 22% AR.</t>
        </is>
      </c>
      <c r="F44" s="56" t="n"/>
      <c r="G44" s="57" t="n"/>
      <c r="H44" s="190" t="n"/>
      <c r="I44" s="57" t="n"/>
    </row>
    <row r="45" ht="30" customHeight="1">
      <c r="A45" s="187" t="inlineStr">
        <is>
          <t>Country &amp; Political Risk</t>
        </is>
      </c>
      <c r="B45" s="188" t="inlineStr">
        <is>
          <t>25%</t>
        </is>
      </c>
      <c r="C45" s="197" t="inlineStr">
        <is>
          <t>8/10</t>
        </is>
      </c>
      <c r="D45" s="197" t="inlineStr">
        <is>
          <t>20.0</t>
        </is>
      </c>
      <c r="E45" s="40" t="inlineStr">
        <is>
          <t>Argentina: Caa3 sovereign. Currency controls active. Brazil: Ba2, improving. Colombia: Baa2.</t>
        </is>
      </c>
      <c r="F45" s="56" t="n"/>
      <c r="G45" s="57" t="n"/>
      <c r="H45" s="190" t="n"/>
      <c r="I45" s="57" t="n"/>
    </row>
    <row r="46" ht="30" customHeight="1">
      <c r="A46" s="187" t="inlineStr">
        <is>
          <t>Policyholder Financial Health</t>
        </is>
      </c>
      <c r="B46" s="188" t="inlineStr">
        <is>
          <t>15%</t>
        </is>
      </c>
      <c r="C46" s="189" t="inlineStr">
        <is>
          <t>4/10</t>
        </is>
      </c>
      <c r="D46" s="189" t="inlineStr">
        <is>
          <t>6.0</t>
        </is>
      </c>
      <c r="E46" s="40" t="inlineStr">
        <is>
          <t>EDF-X PD: 2.1%. DSO rising 8 days YoY. Revenue grew 20% — possibly over-extending credit.</t>
        </is>
      </c>
      <c r="F46" s="56" t="n"/>
      <c r="G46" s="57" t="n"/>
      <c r="H46" s="190" t="n"/>
      <c r="I46" s="57" t="n"/>
    </row>
    <row r="47" ht="30" customHeight="1">
      <c r="A47" s="187" t="inlineStr">
        <is>
          <t>Portfolio Structure</t>
        </is>
      </c>
      <c r="B47" s="188" t="inlineStr">
        <is>
          <t>15%</t>
        </is>
      </c>
      <c r="C47" s="189" t="inlineStr">
        <is>
          <t>5/10</t>
        </is>
      </c>
      <c r="D47" s="189" t="inlineStr">
        <is>
          <t>7.5</t>
        </is>
      </c>
      <c r="E47" s="40" t="inlineStr">
        <is>
          <t>Chemical sector: 55% concentration. Net 90 terms for LatAm buyers. Economy.com: sector mixed.</t>
        </is>
      </c>
      <c r="F47" s="56" t="n"/>
      <c r="G47" s="57" t="n"/>
      <c r="H47" s="190" t="n"/>
      <c r="I47" s="57" t="n"/>
    </row>
    <row r="48" ht="30" customHeight="1">
      <c r="A48" s="187" t="inlineStr">
        <is>
          <t>Macro &amp; Sector Context</t>
        </is>
      </c>
      <c r="B48" s="188" t="inlineStr">
        <is>
          <t>10%</t>
        </is>
      </c>
      <c r="C48" s="189" t="inlineStr">
        <is>
          <t>6/10</t>
        </is>
      </c>
      <c r="D48" s="189" t="inlineStr">
        <is>
          <t>6.0</t>
        </is>
      </c>
      <c r="E48" s="40" t="inlineStr">
        <is>
          <t>Argentina GDP: -1.2% forecast. Brazil: +2.1%. Chemical sector default rate: 30% above avg.</t>
        </is>
      </c>
      <c r="F48" s="56" t="n"/>
      <c r="G48" s="57" t="n"/>
      <c r="H48" s="190" t="n"/>
      <c r="I48" s="57" t="n"/>
    </row>
    <row r="49" ht="24" customHeight="1">
      <c r="A49" s="198" t="inlineStr">
        <is>
          <t>COMPOSITE SCORE</t>
        </is>
      </c>
      <c r="B49" s="57" t="n"/>
      <c r="C49" s="199" t="inlineStr">
        <is>
          <t>62/100</t>
        </is>
      </c>
      <c r="D49" s="200" t="inlineStr">
        <is>
          <t>→ 🔴 RED</t>
        </is>
      </c>
      <c r="E49" s="201" t="inlineStr">
        <is>
          <t>ACTION: Senior UW review. LatAm sub-limits required. Argentina exposure: political risk exclusion or separate cover.</t>
        </is>
      </c>
      <c r="F49" s="56" t="n"/>
      <c r="G49" s="56" t="n"/>
      <c r="H49" s="56" t="n"/>
      <c r="I49" s="57" t="n"/>
    </row>
    <row r="50" ht="5" customHeight="1"/>
  </sheetData>
  <mergeCells count="74">
    <mergeCell ref="H35:I35"/>
    <mergeCell ref="C30:G30"/>
    <mergeCell ref="H38:I38"/>
    <mergeCell ref="H29:I29"/>
    <mergeCell ref="B30"/>
    <mergeCell ref="A49:B49"/>
    <mergeCell ref="C7"/>
    <mergeCell ref="B17:B18"/>
    <mergeCell ref="B6"/>
    <mergeCell ref="E7"/>
    <mergeCell ref="A3:I3"/>
    <mergeCell ref="H44:I44"/>
    <mergeCell ref="A14:A16"/>
    <mergeCell ref="C26:G26"/>
    <mergeCell ref="H39:I39"/>
    <mergeCell ref="H25:I25"/>
    <mergeCell ref="C29:G29"/>
    <mergeCell ref="E46:G46"/>
    <mergeCell ref="A2:I2"/>
    <mergeCell ref="B26"/>
    <mergeCell ref="E36:G36"/>
    <mergeCell ref="A5:I5"/>
    <mergeCell ref="E45:G45"/>
    <mergeCell ref="A32:I32"/>
    <mergeCell ref="H46:I46"/>
    <mergeCell ref="B7"/>
    <mergeCell ref="C25:G25"/>
    <mergeCell ref="C6"/>
    <mergeCell ref="H36:I36"/>
    <mergeCell ref="A4:I4"/>
    <mergeCell ref="B19:B20"/>
    <mergeCell ref="B10:B13"/>
    <mergeCell ref="F6:I6"/>
    <mergeCell ref="A21:A22"/>
    <mergeCell ref="B27"/>
    <mergeCell ref="E40:I40"/>
    <mergeCell ref="A6"/>
    <mergeCell ref="E38:G38"/>
    <mergeCell ref="E44:G44"/>
    <mergeCell ref="A17:A18"/>
    <mergeCell ref="F7:I7"/>
    <mergeCell ref="E37:G37"/>
    <mergeCell ref="H45:I45"/>
    <mergeCell ref="A7"/>
    <mergeCell ref="D6"/>
    <mergeCell ref="E47:G47"/>
    <mergeCell ref="C27:G27"/>
    <mergeCell ref="E49:I49"/>
    <mergeCell ref="H37:I37"/>
    <mergeCell ref="H28:I28"/>
    <mergeCell ref="H47:I47"/>
    <mergeCell ref="A19:A20"/>
    <mergeCell ref="A10:A13"/>
    <mergeCell ref="A24:I24"/>
    <mergeCell ref="H27:I27"/>
    <mergeCell ref="H48:I48"/>
    <mergeCell ref="H42:I42"/>
    <mergeCell ref="D7"/>
    <mergeCell ref="B29"/>
    <mergeCell ref="C28:G28"/>
    <mergeCell ref="A1:I1"/>
    <mergeCell ref="B14:B16"/>
    <mergeCell ref="E6"/>
    <mergeCell ref="H33:I33"/>
    <mergeCell ref="E35:G35"/>
    <mergeCell ref="E39:G39"/>
    <mergeCell ref="B28"/>
    <mergeCell ref="A40:B40"/>
    <mergeCell ref="E48:G48"/>
    <mergeCell ref="A33:G33"/>
    <mergeCell ref="B21:B22"/>
    <mergeCell ref="H30:I30"/>
    <mergeCell ref="A42:G42"/>
    <mergeCell ref="H26:I26"/>
  </mergeCells>
  <pageMargins left="0.75" right="0.75" top="1" bottom="1" header="0.5" footer="0.5"/>
</worksheet>
</file>

<file path=xl/worksheets/sheet17.xml><?xml version="1.0" encoding="utf-8"?>
<worksheet xmlns="http://schemas.openxmlformats.org/spreadsheetml/2006/main">
  <sheetPr>
    <tabColor rgb="00276749"/>
    <outlinePr summaryBelow="1" summaryRight="1"/>
    <pageSetUpPr/>
  </sheetPr>
  <dimension ref="A1:I47"/>
  <sheetViews>
    <sheetView showGridLines="0" workbookViewId="0">
      <pane ySplit="9" topLeftCell="A10" activePane="bottomLeft" state="frozen"/>
      <selection pane="bottomLeft" activeCell="A1" sqref="A1"/>
    </sheetView>
  </sheetViews>
  <sheetFormatPr baseColWidth="8" defaultRowHeight="15"/>
  <cols>
    <col width="20" customWidth="1" min="1" max="1"/>
    <col width="10" customWidth="1" min="2" max="2"/>
    <col width="28" customWidth="1" min="3" max="3"/>
    <col width="26" customWidth="1" min="4" max="4"/>
    <col width="38" customWidth="1" min="5" max="5"/>
    <col width="28" customWidth="1" min="6" max="6"/>
    <col width="28" customWidth="1" min="7" max="7"/>
    <col width="28" customWidth="1" min="8" max="8"/>
    <col width="14" customWidth="1" min="9" max="9"/>
  </cols>
  <sheetData>
    <row r="1" ht="40" customHeight="1">
      <c r="A1" s="94" t="inlineStr">
        <is>
          <t xml:space="preserve">  Surety Bond Risk Signal Model  |  Risk Signal Model</t>
        </is>
      </c>
    </row>
    <row r="2" ht="16" customHeight="1">
      <c r="A2" s="155" t="inlineStr">
        <is>
          <t xml:space="preserve">  Risk signal quantifying the 4 Cs: Character, Capital, Capacity, Continuity — with real-time Moody's enrichment</t>
        </is>
      </c>
    </row>
    <row r="3" ht="14" customHeight="1">
      <c r="A3" s="134" t="inlineStr">
        <is>
          <t xml:space="preserve">  Typical clients: General contractors, specialty subcontractors, developers, licensed professionals, principals</t>
        </is>
      </c>
    </row>
    <row r="4" ht="4" customHeight="1">
      <c r="A4" s="33" t="n"/>
    </row>
    <row r="5" ht="14" customHeight="1">
      <c r="A5" s="115" t="inlineStr">
        <is>
          <t xml:space="preserve">  AUTO-ENRICHMENT → SCORING → SIGNAL FLOW</t>
        </is>
      </c>
    </row>
    <row r="6" ht="24" customHeight="1">
      <c r="A6" s="116" t="inlineStr">
        <is>
          <t xml:space="preserve">  1. Application Received  ▶</t>
        </is>
      </c>
      <c r="B6" s="117" t="inlineStr">
        <is>
          <t xml:space="preserve">  2. Auto-Enrich  ▶</t>
        </is>
      </c>
      <c r="C6" s="116" t="inlineStr">
        <is>
          <t xml:space="preserve">  3. Score 5 Dimensions  ▶</t>
        </is>
      </c>
      <c r="D6" s="117" t="inlineStr">
        <is>
          <t xml:space="preserve">  4. Red Line Check  ▶</t>
        </is>
      </c>
      <c r="E6" s="116" t="inlineStr">
        <is>
          <t xml:space="preserve">  5. Signal + Limit  ▶</t>
        </is>
      </c>
      <c r="F6" s="117" t="inlineStr">
        <is>
          <t xml:space="preserve">  6. UW Review</t>
        </is>
      </c>
    </row>
    <row r="7" ht="24" customHeight="1">
      <c r="A7" s="118" t="inlineStr">
        <is>
          <t xml:space="preserve">  Principal name + work type + revenue + bond amount requested</t>
        </is>
      </c>
      <c r="B7" s="118" t="inlineStr">
        <is>
          <t xml:space="preserve">  Orbis financials + EDF-X + Cortera CPR + RDC/GRID adverse news + D&amp;O Data exec screen</t>
        </is>
      </c>
      <c r="C7" s="118" t="inlineStr">
        <is>
          <t xml:space="preserve">  Capital + Character + Capacity + Banking + Obligee quality</t>
        </is>
      </c>
      <c r="D7" s="118" t="inlineStr">
        <is>
          <t xml:space="preserve">  Negative WC / negative backlog GP / active bond claim → BLACK</t>
        </is>
      </c>
      <c r="E7" s="118" t="inlineStr">
        <is>
          <t xml:space="preserve">  RAG signal + single job / aggregate capacity indication</t>
        </is>
      </c>
      <c r="F7" s="118" t="inlineStr">
        <is>
          <t xml:space="preserve">  Character assessment + WIP deep dive for YELLOW/RED accounts</t>
        </is>
      </c>
    </row>
    <row r="8" ht="5" customHeight="1"/>
    <row r="9" ht="28" customHeight="1">
      <c r="A9" s="156" t="inlineStr">
        <is>
          <t>Risk Dimension</t>
        </is>
      </c>
      <c r="B9" s="156" t="inlineStr">
        <is>
          <t>Weight</t>
        </is>
      </c>
      <c r="C9" s="156" t="inlineStr">
        <is>
          <t>Signal / Feature</t>
        </is>
      </c>
      <c r="D9" s="156" t="inlineStr">
        <is>
          <t>Moody's Data Source</t>
        </is>
      </c>
      <c r="E9" s="156" t="inlineStr">
        <is>
          <t>Scoring Logic (0–10 scale)</t>
        </is>
      </c>
      <c r="F9" s="156" t="inlineStr">
        <is>
          <t>🟢 Low Risk (0–3)</t>
        </is>
      </c>
      <c r="G9" s="156" t="inlineStr">
        <is>
          <t>🟡 Moderate (4–6)</t>
        </is>
      </c>
      <c r="H9" s="156" t="inlineStr">
        <is>
          <t>🔴 High Risk (7–10)</t>
        </is>
      </c>
      <c r="I9" s="157" t="inlineStr">
        <is>
          <t>Auto Red Line?</t>
        </is>
      </c>
    </row>
    <row r="10" ht="40" customHeight="1">
      <c r="A10" s="158" t="inlineStr">
        <is>
          <t>Financial Capital</t>
        </is>
      </c>
      <c r="B10" s="159" t="inlineStr">
        <is>
          <t>30%</t>
        </is>
      </c>
      <c r="C10" s="40" t="inlineStr">
        <is>
          <t>Working Capital &amp; Current Ratio</t>
        </is>
      </c>
      <c r="D10" s="124" t="inlineStr">
        <is>
          <t>Orbis financials (3yr) + EDF-X private company model</t>
        </is>
      </c>
      <c r="E10" s="160" t="inlineStr">
        <is>
          <t>WC &gt;15% of program + CR &gt;2.0→1 | WC 10–15%→4 | WC 5–10%→7 | WC &lt;5%→9</t>
        </is>
      </c>
      <c r="F10" s="161" t="inlineStr">
        <is>
          <t>Working capital &gt;15% of bonding program. CR &gt;2.0. Trend improving.</t>
        </is>
      </c>
      <c r="G10" s="162" t="inlineStr">
        <is>
          <t>Working capital 10–12% of program. CR 1.3–1.8. Seasonal variation.</t>
        </is>
      </c>
      <c r="H10" s="163" t="inlineStr">
        <is>
          <t>Working capital &lt;5% of program. CR &lt;1.2. Unable to fund project cash flow gaps.</t>
        </is>
      </c>
      <c r="I10" s="167" t="inlineStr">
        <is>
          <t>⛔ Negative working capital = automatic BLACK</t>
        </is>
      </c>
    </row>
    <row r="11" ht="40" customHeight="1">
      <c r="A11" s="165" t="n"/>
      <c r="B11" s="165" t="n"/>
      <c r="C11" s="40" t="inlineStr">
        <is>
          <t>Tangible Net Worth</t>
        </is>
      </c>
      <c r="D11" s="124" t="inlineStr">
        <is>
          <t>Orbis balance sheet + EDF-X net worth model</t>
        </is>
      </c>
      <c r="E11" s="160" t="inlineStr">
        <is>
          <t>TNW growing &gt;10%/yr→1 | Stable→3 | Declining→6 | Declining &gt;20%→9</t>
        </is>
      </c>
      <c r="F11" s="161" t="inlineStr">
        <is>
          <t>TNW growing consistently. Retained earnings increasing. No owner distributions eroding base.</t>
        </is>
      </c>
      <c r="G11" s="162" t="inlineStr">
        <is>
          <t>TNW stable. Owner distributions offset by net income. Marginal trend.</t>
        </is>
      </c>
      <c r="H11" s="163" t="inlineStr">
        <is>
          <t>TNW declining. Large owner distributions. Goodwill/intangibles inflating stated equity.</t>
        </is>
      </c>
      <c r="I11" s="164" t="n"/>
    </row>
    <row r="12" ht="40" customHeight="1">
      <c r="A12" s="166" t="n"/>
      <c r="B12" s="166" t="n"/>
      <c r="C12" s="40" t="inlineStr">
        <is>
          <t>Cortera CPR Credit Risk Score</t>
        </is>
      </c>
      <c r="D12" s="124" t="inlineStr">
        <is>
          <t>Cortera — proprietary credit risk score incorporating payment + financial signals</t>
        </is>
      </c>
      <c r="E12" s="160" t="inlineStr">
        <is>
          <t>CPR 80–100→1 | CPR 60–80→4 | CPR 40–60→7 | CPR &lt;40→9</t>
        </is>
      </c>
      <c r="F12" s="161" t="inlineStr">
        <is>
          <t>CPR 80–100. Top quartile. Strong payment behavior + financial health composite.</t>
        </is>
      </c>
      <c r="G12" s="162" t="inlineStr">
        <is>
          <t>CPR 60–80. Average credit risk. Some delinquency signals in prior 12mo.</t>
        </is>
      </c>
      <c r="H12" s="163" t="inlineStr">
        <is>
          <t>CPR &lt;40. Bottom quartile. Payment problems + weak financials. Default risk elevated.</t>
        </is>
      </c>
      <c r="I12" s="164" t="n"/>
    </row>
    <row r="13" ht="40" customHeight="1">
      <c r="A13" s="168" t="inlineStr">
        <is>
          <t>Character &amp; Track Record</t>
        </is>
      </c>
      <c r="B13" s="169" t="inlineStr">
        <is>
          <t>25%</t>
        </is>
      </c>
      <c r="C13" s="40" t="inlineStr">
        <is>
          <t>Trade Payment History</t>
        </is>
      </c>
      <c r="D13" s="124" t="inlineStr">
        <is>
          <t>Cortera — $1.45T B2B payment database. Days Beyond Terms (DBT) trend.</t>
        </is>
      </c>
      <c r="E13" s="160" t="inlineStr">
        <is>
          <t>DBT avg &lt;5 days, improving→1 | DBT 5–15→4 | DBT 15–30→7 | DBT &gt;30 or deteriorating→9</t>
        </is>
      </c>
      <c r="F13" s="161" t="inlineStr">
        <is>
          <t>Pays subs/suppliers within 5 days of terms. Strong trade reputation.</t>
        </is>
      </c>
      <c r="G13" s="162" t="inlineStr">
        <is>
          <t>DBT 5–15 days. Some slowdown vs. prior year. Investigate root cause.</t>
        </is>
      </c>
      <c r="H13" s="163" t="inlineStr">
        <is>
          <t>DBT &gt;30 days. Subs filing liens. Pattern of slow payment = cash flow problem.</t>
        </is>
      </c>
      <c r="I13" s="164" t="n"/>
    </row>
    <row r="14" ht="40" customHeight="1">
      <c r="A14" s="165" t="n"/>
      <c r="B14" s="165" t="n"/>
      <c r="C14" s="40" t="inlineStr">
        <is>
          <t>Legal / Judgments / Liens</t>
        </is>
      </c>
      <c r="D14" s="124" t="inlineStr">
        <is>
          <t>Cortera (tax liens, civil judgments, UCC filings) + RDC/GRID court records</t>
        </is>
      </c>
      <c r="E14" s="160" t="inlineStr">
        <is>
          <t>None→0 | Old resolved UCC→2 | Active UCC + clean lien→4 | Tax lien or judgment→8 | Multiple→10</t>
        </is>
      </c>
      <c r="F14" s="161" t="inlineStr">
        <is>
          <t>No liens, judgments, or adverse UCC filings. Clean public record.</t>
        </is>
      </c>
      <c r="G14" s="162" t="inlineStr">
        <is>
          <t>Active UCC filings consistent with equipment financing. No tax liens.</t>
        </is>
      </c>
      <c r="H14" s="163" t="inlineStr">
        <is>
          <t>Tax lien outstanding. Civil judgment unsatisfied. Mechanic's liens from project.</t>
        </is>
      </c>
      <c r="I14" s="167" t="inlineStr">
        <is>
          <t>⛔ Unsatisfied tax lien + judgment = automatic RED or BLACK</t>
        </is>
      </c>
    </row>
    <row r="15" ht="40" customHeight="1">
      <c r="A15" s="166" t="n"/>
      <c r="B15" s="166" t="n"/>
      <c r="C15" s="40" t="inlineStr">
        <is>
          <t>Adverse News &amp; Prior Bond Claims</t>
        </is>
      </c>
      <c r="D15" s="124" t="inlineStr">
        <is>
          <t>RDC/GRID adverse news + application claims history</t>
        </is>
      </c>
      <c r="E15" s="160" t="inlineStr">
        <is>
          <t>Clean + no prior bonds claims→0 | Prior claim &gt;5yr, resolved→3 | Prior claim &lt;5yr→7 | Active claim→10</t>
        </is>
      </c>
      <c r="F15" s="161" t="inlineStr">
        <is>
          <t>No adverse news. No prior bond claims. Strong obligee relationships.</t>
        </is>
      </c>
      <c r="G15" s="162" t="inlineStr">
        <is>
          <t>One prior claim &gt;5yr ago. Fully resolved. Root cause addressed.</t>
        </is>
      </c>
      <c r="H15" s="163" t="inlineStr">
        <is>
          <t>Active bond claim. Obligee dispute. Sub-contractor payment lawsuit.</t>
        </is>
      </c>
      <c r="I15" s="167" t="inlineStr">
        <is>
          <t>⛔ Active bond claim in progress = automatic BLACK for new bonds</t>
        </is>
      </c>
    </row>
    <row r="16" ht="40" customHeight="1">
      <c r="A16" s="170" t="inlineStr">
        <is>
          <t>Capacity &amp; Backlog Quality</t>
        </is>
      </c>
      <c r="B16" s="171" t="inlineStr">
        <is>
          <t>20%</t>
        </is>
      </c>
      <c r="C16" s="40" t="inlineStr">
        <is>
          <t>Backlog-to-Working-Capital Ratio</t>
        </is>
      </c>
      <c r="D16" s="124" t="inlineStr">
        <is>
          <t>WIP schedule + Orbis financials</t>
        </is>
      </c>
      <c r="E16" s="160" t="inlineStr">
        <is>
          <t>&lt;5x→1 | 5–8x→4 | 8–12x→7 | &gt;12x→9</t>
        </is>
      </c>
      <c r="F16" s="161" t="inlineStr">
        <is>
          <t>&lt;5x. Adequate capital to fund work-in-progress. Disciplined backlog management.</t>
        </is>
      </c>
      <c r="G16" s="162" t="inlineStr">
        <is>
          <t>5–8x. Elevated but manageable with strong banking relationship.</t>
        </is>
      </c>
      <c r="H16" s="163" t="inlineStr">
        <is>
          <t>&gt;12x. Severely overextended. One project problem could collapse program.</t>
        </is>
      </c>
      <c r="I16" s="164" t="n"/>
    </row>
    <row r="17" ht="40" customHeight="1">
      <c r="A17" s="166" t="n"/>
      <c r="B17" s="166" t="n"/>
      <c r="C17" s="40" t="inlineStr">
        <is>
          <t>Gross Profit Margin Trend (WIP / Backlog)</t>
        </is>
      </c>
      <c r="D17" s="124" t="inlineStr">
        <is>
          <t>CPA-prepared WIP schedule + Orbis 3yr financials</t>
        </is>
      </c>
      <c r="E17" s="160" t="inlineStr">
        <is>
          <t>Margins stable/improving→1 | Margin compression &lt;15%→4 | Margin fade &gt;15%→7 | Negative GP in backlog→10</t>
        </is>
      </c>
      <c r="F17" s="161" t="inlineStr">
        <is>
          <t>GP margins stable or improving. Backlog priced at historical margins. No fade.</t>
        </is>
      </c>
      <c r="G17" s="162" t="inlineStr">
        <is>
          <t>Minor margin compression (&lt;15%). Economy.com construction cost inflation explains part.</t>
        </is>
      </c>
      <c r="H17" s="163" t="inlineStr">
        <is>
          <t>Margin fade &gt;15%. Below-cost bidding to win work. Negative GP in backlog.</t>
        </is>
      </c>
      <c r="I17" s="167" t="inlineStr">
        <is>
          <t>⛔ Negative gross profit in total backlog = automatic BLACK</t>
        </is>
      </c>
    </row>
    <row r="18" ht="40" customHeight="1">
      <c r="A18" s="172" t="inlineStr">
        <is>
          <t>Banking &amp; Liquidity</t>
        </is>
      </c>
      <c r="B18" s="173" t="inlineStr">
        <is>
          <t>15%</t>
        </is>
      </c>
      <c r="C18" s="40" t="inlineStr">
        <is>
          <t>Credit Line Availability &amp; Trend</t>
        </is>
      </c>
      <c r="D18" s="124" t="inlineStr">
        <is>
          <t>Cortera credit line data + bank reference letter</t>
        </is>
      </c>
      <c r="E18" s="160" t="inlineStr">
        <is>
          <t>Undrawn &gt;60% + increasing line→1 | Undrawn 40–60%→3 | Undrawn &lt;40%→6 | Line being reduced→9</t>
        </is>
      </c>
      <c r="F18" s="161" t="inlineStr">
        <is>
          <t>Ample undrawn credit line. Bank increasing limit. Positive bank reference.</t>
        </is>
      </c>
      <c r="G18" s="162" t="inlineStr">
        <is>
          <t>Credit line 40–60% utilized. Bank maintaining limit. Reference: neutral.</t>
        </is>
      </c>
      <c r="H18" s="163" t="inlineStr">
        <is>
          <t>Line &gt;80% drawn. Bank reducing limit. EDF-X early warning flag triggered.</t>
        </is>
      </c>
      <c r="I18" s="164" t="n"/>
    </row>
    <row r="19" ht="40" customHeight="1">
      <c r="A19" s="166" t="n"/>
      <c r="B19" s="166" t="n"/>
      <c r="C19" s="40" t="inlineStr">
        <is>
          <t>EDF-X Early Warning Signal</t>
        </is>
      </c>
      <c r="D19" s="124" t="inlineStr">
        <is>
          <t>EDF-X Early Warning System — real-time credit deterioration detection</t>
        </is>
      </c>
      <c r="E19" s="160" t="inlineStr">
        <is>
          <t>No EWS flag→0 | Watch flag→4 | Severe flag→8 | Default imminent flag→10</t>
        </is>
      </c>
      <c r="F19" s="161" t="inlineStr">
        <is>
          <t>No EDF-X early warning flag. PD stable or declining.</t>
        </is>
      </c>
      <c r="G19" s="162" t="inlineStr">
        <is>
          <t>EDF-X watch flag. PD increased 50%+ in 3 months. Monitor closely.</t>
        </is>
      </c>
      <c r="H19" s="163" t="inlineStr">
        <is>
          <t>Severe EDF-X flag. Rapid PD deterioration. Precursor to financial distress.</t>
        </is>
      </c>
      <c r="I19" s="167" t="inlineStr">
        <is>
          <t>⛔ EDF-X 'default imminent' flag = automatic RED review</t>
        </is>
      </c>
    </row>
    <row r="20" ht="40" customHeight="1">
      <c r="A20" s="174" t="inlineStr">
        <is>
          <t>Obligee &amp; Project Quality</t>
        </is>
      </c>
      <c r="B20" s="175" t="inlineStr">
        <is>
          <t>10%</t>
        </is>
      </c>
      <c r="C20" s="40" t="inlineStr">
        <is>
          <t>Project Owner / Obligee Creditworthiness</t>
        </is>
      </c>
      <c r="D20" s="124" t="inlineStr">
        <is>
          <t>EDF-X PD for owner + CreditView (if rated) + Orbis owner financials</t>
        </is>
      </c>
      <c r="E20" s="160" t="inlineStr">
        <is>
          <t>IG rated public owner→1 | Private rated→3 | Private unrated stable→5 | Speculative developer→8</t>
        </is>
      </c>
      <c r="F20" s="161" t="inlineStr">
        <is>
          <t>Public entity (govt, municipality, established corporation). IG credit quality.</t>
        </is>
      </c>
      <c r="G20" s="162" t="inlineStr">
        <is>
          <t>Private developer with track record. Financial review completed. Adequate funding.</t>
        </is>
      </c>
      <c r="H20" s="163" t="inlineStr">
        <is>
          <t>Speculative developer. Pre-sale/pre-lease driven project. Limited financial cushion.</t>
        </is>
      </c>
      <c r="I20" s="164" t="n"/>
    </row>
    <row r="21" ht="5" customHeight="1"/>
    <row r="22" ht="16" customHeight="1">
      <c r="A22" s="136" t="inlineStr">
        <is>
          <t xml:space="preserve">  RED LINE RULES — AUTOMATIC SIGNAL OVERRIDE (Triggers ⛔ BLACK regardless of score)</t>
        </is>
      </c>
    </row>
    <row r="23" ht="20" customHeight="1">
      <c r="A23" s="180" t="inlineStr">
        <is>
          <t>#</t>
        </is>
      </c>
      <c r="B23" s="180" t="inlineStr">
        <is>
          <t>Red Line Condition</t>
        </is>
      </c>
      <c r="C23" s="180" t="inlineStr">
        <is>
          <t>Moody's Data Source That Identifies It</t>
        </is>
      </c>
      <c r="D23" s="56" t="n"/>
      <c r="E23" s="56" t="n"/>
      <c r="F23" s="56" t="n"/>
      <c r="G23" s="57" t="n"/>
      <c r="H23" s="180" t="inlineStr">
        <is>
          <t>Action</t>
        </is>
      </c>
      <c r="I23" s="57" t="n"/>
    </row>
    <row r="24" ht="28" customHeight="1">
      <c r="A24" s="181" t="inlineStr">
        <is>
          <t>1</t>
        </is>
      </c>
      <c r="B24" s="182" t="inlineStr">
        <is>
          <t>Negative working capital (current liabilities exceed current assets)</t>
        </is>
      </c>
      <c r="C24" s="183" t="inlineStr">
        <is>
          <t>Orbis CPA-prepared financials + EDF-X private company model</t>
        </is>
      </c>
      <c r="D24" s="56" t="n"/>
      <c r="E24" s="56" t="n"/>
      <c r="F24" s="56" t="n"/>
      <c r="G24" s="57" t="n"/>
      <c r="H24" s="167" t="inlineStr">
        <is>
          <t>⛔ BLACK — Unable to fund project cash flows. No bond program available.</t>
        </is>
      </c>
      <c r="I24" s="57" t="n"/>
    </row>
    <row r="25" ht="28" customHeight="1">
      <c r="A25" s="181" t="inlineStr">
        <is>
          <t>2</t>
        </is>
      </c>
      <c r="B25" s="182" t="inlineStr">
        <is>
          <t>Negative gross profit embedded in total project backlog</t>
        </is>
      </c>
      <c r="C25" s="183" t="inlineStr">
        <is>
          <t>CPA-prepared WIP schedule</t>
        </is>
      </c>
      <c r="D25" s="56" t="n"/>
      <c r="E25" s="56" t="n"/>
      <c r="F25" s="56" t="n"/>
      <c r="G25" s="57" t="n"/>
      <c r="H25" s="167" t="inlineStr">
        <is>
          <t>⛔ BLACK — Below-cost bidding signals distress. Surety would be funding losses.</t>
        </is>
      </c>
      <c r="I25" s="57" t="n"/>
    </row>
    <row r="26" ht="28" customHeight="1">
      <c r="A26" s="181" t="inlineStr">
        <is>
          <t>3</t>
        </is>
      </c>
      <c r="B26" s="182" t="inlineStr">
        <is>
          <t>Active bond claim or obligee dispute in progress</t>
        </is>
      </c>
      <c r="C26" s="183" t="inlineStr">
        <is>
          <t>Application + RDC/GRID litigation monitoring</t>
        </is>
      </c>
      <c r="D26" s="56" t="n"/>
      <c r="E26" s="56" t="n"/>
      <c r="F26" s="56" t="n"/>
      <c r="G26" s="57" t="n"/>
      <c r="H26" s="167" t="inlineStr">
        <is>
          <t>⛔ BLACK — No new bonds until claim fully resolved and root cause addressed.</t>
        </is>
      </c>
      <c r="I26" s="57" t="n"/>
    </row>
    <row r="27" ht="28" customHeight="1">
      <c r="A27" s="181" t="inlineStr">
        <is>
          <t>4</t>
        </is>
      </c>
      <c r="B27" s="182" t="inlineStr">
        <is>
          <t>Unsatisfied tax lien or civil judgment against principal</t>
        </is>
      </c>
      <c r="C27" s="183" t="inlineStr">
        <is>
          <t>Cortera tax lien + judgment database</t>
        </is>
      </c>
      <c r="D27" s="56" t="n"/>
      <c r="E27" s="56" t="n"/>
      <c r="F27" s="56" t="n"/>
      <c r="G27" s="57" t="n"/>
      <c r="H27" s="167" t="inlineStr">
        <is>
          <t>⛔ RED/BLACK — Cannot write bonds. Indemnitors must resolve liens before binding.</t>
        </is>
      </c>
      <c r="I27" s="57" t="n"/>
    </row>
    <row r="28" ht="28" customHeight="1">
      <c r="A28" s="181" t="inlineStr">
        <is>
          <t>5</t>
        </is>
      </c>
      <c r="B28" s="182" t="inlineStr">
        <is>
          <t>Principal or UBO on sanctions list</t>
        </is>
      </c>
      <c r="C28" s="183" t="inlineStr">
        <is>
          <t>RDC/GRID + Orbis UBO tree</t>
        </is>
      </c>
      <c r="D28" s="56" t="n"/>
      <c r="E28" s="56" t="n"/>
      <c r="F28" s="56" t="n"/>
      <c r="G28" s="57" t="n"/>
      <c r="H28" s="167" t="inlineStr">
        <is>
          <t>⛔ BLACK — Mandatory decline. Compliance escalation.</t>
        </is>
      </c>
      <c r="I28" s="57" t="n"/>
    </row>
    <row r="29" ht="5" customHeight="1"/>
    <row r="30" ht="16" customHeight="1">
      <c r="A30" s="134" t="inlineStr">
        <is>
          <t xml:space="preserve">  HYPOTHETICAL SCORED SCENARIOS — Model In Action</t>
        </is>
      </c>
    </row>
    <row r="31" ht="20" customHeight="1">
      <c r="A31" s="184" t="inlineStr">
        <is>
          <t xml:space="preserve">  SCENARIO 1 — BuildRight Construction LLC  |  25yr-old GC. $85M revenue. Commercial office &amp; industrial. Midwest. Clean record.</t>
        </is>
      </c>
      <c r="H31" s="207" t="inlineStr">
        <is>
          <t>SIGNAL: 🟢 GREEN</t>
        </is>
      </c>
    </row>
    <row r="32" ht="16" customHeight="1">
      <c r="A32" s="186" t="inlineStr">
        <is>
          <t>Dimension</t>
        </is>
      </c>
      <c r="B32" s="186" t="inlineStr">
        <is>
          <t>Wt %</t>
        </is>
      </c>
      <c r="C32" s="186" t="inlineStr">
        <is>
          <t>Score (0–10)</t>
        </is>
      </c>
      <c r="D32" s="186" t="inlineStr">
        <is>
          <t>Wtd Contribution</t>
        </is>
      </c>
      <c r="E32" s="186" t="inlineStr">
        <is>
          <t>Key Signals Driving Score</t>
        </is>
      </c>
      <c r="F32" s="186" t="n"/>
      <c r="G32" s="186" t="n"/>
      <c r="H32" s="186" t="inlineStr">
        <is>
          <t>Red Line?</t>
        </is>
      </c>
      <c r="I32" s="186" t="n"/>
    </row>
    <row r="33" ht="30" customHeight="1">
      <c r="A33" s="187" t="inlineStr">
        <is>
          <t>Financial Capital</t>
        </is>
      </c>
      <c r="B33" s="188" t="inlineStr">
        <is>
          <t>30%</t>
        </is>
      </c>
      <c r="C33" s="191" t="inlineStr">
        <is>
          <t>2/10</t>
        </is>
      </c>
      <c r="D33" s="191" t="inlineStr">
        <is>
          <t>6.0</t>
        </is>
      </c>
      <c r="E33" s="40" t="inlineStr">
        <is>
          <t>TNW $8.2M growing. WC $4.1M (12% of $35M program). CPR: 84. Orbis: 3yr financials clean.</t>
        </is>
      </c>
      <c r="F33" s="56" t="n"/>
      <c r="G33" s="57" t="n"/>
      <c r="H33" s="190" t="n"/>
      <c r="I33" s="57" t="n"/>
    </row>
    <row r="34" ht="30" customHeight="1">
      <c r="A34" s="187" t="inlineStr">
        <is>
          <t>Character &amp; Track Record</t>
        </is>
      </c>
      <c r="B34" s="188" t="inlineStr">
        <is>
          <t>25%</t>
        </is>
      </c>
      <c r="C34" s="191" t="inlineStr">
        <is>
          <t>1/10</t>
        </is>
      </c>
      <c r="D34" s="191" t="inlineStr">
        <is>
          <t>2.5</t>
        </is>
      </c>
      <c r="E34" s="40" t="inlineStr">
        <is>
          <t>Cortera DBT: 3 days avg. No liens, no judgments, no prior claims. Excellent trade references.</t>
        </is>
      </c>
      <c r="F34" s="56" t="n"/>
      <c r="G34" s="57" t="n"/>
      <c r="H34" s="190" t="n"/>
      <c r="I34" s="57" t="n"/>
    </row>
    <row r="35" ht="30" customHeight="1">
      <c r="A35" s="187" t="inlineStr">
        <is>
          <t>Capacity &amp; Backlog</t>
        </is>
      </c>
      <c r="B35" s="188" t="inlineStr">
        <is>
          <t>20%</t>
        </is>
      </c>
      <c r="C35" s="191" t="inlineStr">
        <is>
          <t>3/10</t>
        </is>
      </c>
      <c r="D35" s="191" t="inlineStr">
        <is>
          <t>6.0</t>
        </is>
      </c>
      <c r="E35" s="40" t="inlineStr">
        <is>
          <t>Backlog-to-WC: 6.2x. GP margins stable at 14%. No margin fade. WIP: accurate and current.</t>
        </is>
      </c>
      <c r="F35" s="56" t="n"/>
      <c r="G35" s="57" t="n"/>
      <c r="H35" s="190" t="n"/>
      <c r="I35" s="57" t="n"/>
    </row>
    <row r="36" ht="30" customHeight="1">
      <c r="A36" s="187" t="inlineStr">
        <is>
          <t>Banking &amp; Liquidity</t>
        </is>
      </c>
      <c r="B36" s="188" t="inlineStr">
        <is>
          <t>15%</t>
        </is>
      </c>
      <c r="C36" s="191" t="inlineStr">
        <is>
          <t>2/10</t>
        </is>
      </c>
      <c r="D36" s="191" t="inlineStr">
        <is>
          <t>3.0</t>
        </is>
      </c>
      <c r="E36" s="40" t="inlineStr">
        <is>
          <t>$3M line, 35% utilized. Bank letter: strong. EDF-X EWS: no flag. PD: 0.9%.</t>
        </is>
      </c>
      <c r="F36" s="56" t="n"/>
      <c r="G36" s="57" t="n"/>
      <c r="H36" s="190" t="n"/>
      <c r="I36" s="57" t="n"/>
    </row>
    <row r="37" ht="30" customHeight="1">
      <c r="A37" s="187" t="inlineStr">
        <is>
          <t>Obligee Quality</t>
        </is>
      </c>
      <c r="B37" s="188" t="inlineStr">
        <is>
          <t>10%</t>
        </is>
      </c>
      <c r="C37" s="191" t="inlineStr">
        <is>
          <t>2/10</t>
        </is>
      </c>
      <c r="D37" s="191" t="inlineStr">
        <is>
          <t>2.0</t>
        </is>
      </c>
      <c r="E37" s="40" t="inlineStr">
        <is>
          <t>Primary clients: Fortune 500 corporations + municipal work. All IG credit quality.</t>
        </is>
      </c>
      <c r="F37" s="56" t="n"/>
      <c r="G37" s="57" t="n"/>
      <c r="H37" s="190" t="n"/>
      <c r="I37" s="57" t="n"/>
    </row>
    <row r="38" ht="24" customHeight="1">
      <c r="A38" s="208" t="inlineStr">
        <is>
          <t>COMPOSITE SCORE</t>
        </is>
      </c>
      <c r="B38" s="57" t="n"/>
      <c r="C38" s="209" t="inlineStr">
        <is>
          <t>22/100</t>
        </is>
      </c>
      <c r="D38" s="41" t="inlineStr">
        <is>
          <t>→ 🟢 GREEN</t>
        </is>
      </c>
      <c r="E38" s="210" t="inlineStr">
        <is>
          <t>ACTION: Approve program. Single job limit: $15M. Aggregate: $40M. Annual WIP review.</t>
        </is>
      </c>
      <c r="F38" s="56" t="n"/>
      <c r="G38" s="56" t="n"/>
      <c r="H38" s="56" t="n"/>
      <c r="I38" s="57" t="n"/>
    </row>
    <row r="39" ht="5" customHeight="1"/>
    <row r="40" ht="20" customHeight="1">
      <c r="A40" s="184" t="inlineStr">
        <is>
          <t xml:space="preserve">  SCENARIO 2 — FastTrack Builders Inc.  |  8yr-old GC. $42M revenue. Rapid growth (55% in 2yr). Hiring aggressively. Southeast US.</t>
        </is>
      </c>
      <c r="H40" s="202" t="inlineStr">
        <is>
          <t>SIGNAL: ⛔ BLACK</t>
        </is>
      </c>
    </row>
    <row r="41" ht="16" customHeight="1">
      <c r="A41" s="186" t="inlineStr">
        <is>
          <t>Dimension</t>
        </is>
      </c>
      <c r="B41" s="186" t="inlineStr">
        <is>
          <t>Wt %</t>
        </is>
      </c>
      <c r="C41" s="186" t="inlineStr">
        <is>
          <t>Score (0–10)</t>
        </is>
      </c>
      <c r="D41" s="186" t="inlineStr">
        <is>
          <t>Wtd Contribution</t>
        </is>
      </c>
      <c r="E41" s="186" t="inlineStr">
        <is>
          <t>Key Signals Driving Score</t>
        </is>
      </c>
      <c r="F41" s="186" t="n"/>
      <c r="G41" s="186" t="n"/>
      <c r="H41" s="186" t="inlineStr">
        <is>
          <t>Red Line?</t>
        </is>
      </c>
      <c r="I41" s="186" t="n"/>
    </row>
    <row r="42" ht="30" customHeight="1">
      <c r="A42" s="187" t="inlineStr">
        <is>
          <t>Financial Capital</t>
        </is>
      </c>
      <c r="B42" s="188" t="inlineStr">
        <is>
          <t>30%</t>
        </is>
      </c>
      <c r="C42" s="197" t="inlineStr">
        <is>
          <t>9/10</t>
        </is>
      </c>
      <c r="D42" s="197" t="inlineStr">
        <is>
          <t>27.0</t>
        </is>
      </c>
      <c r="E42" s="40" t="inlineStr">
        <is>
          <t>TNW: $1.1M (understated by $800K goodwill). WC: NEGATIVE -$220K per Orbis latest financials.</t>
        </is>
      </c>
      <c r="F42" s="56" t="n"/>
      <c r="G42" s="57" t="n"/>
      <c r="H42" s="167" t="inlineStr">
        <is>
          <t>⛔ RED LINE: Negative WC</t>
        </is>
      </c>
      <c r="I42" s="57" t="n"/>
    </row>
    <row r="43" ht="30" customHeight="1">
      <c r="A43" s="187" t="inlineStr">
        <is>
          <t>Character &amp; Track Record</t>
        </is>
      </c>
      <c r="B43" s="188" t="inlineStr">
        <is>
          <t>25%</t>
        </is>
      </c>
      <c r="C43" s="189" t="inlineStr">
        <is>
          <t>5/10</t>
        </is>
      </c>
      <c r="D43" s="189" t="inlineStr">
        <is>
          <t>12.5</t>
        </is>
      </c>
      <c r="E43" s="40" t="inlineStr">
        <is>
          <t>Cortera DBT: 22 days (rising). 1 mechanic's lien filed by subcontractor (active). 0 prior bond claims.</t>
        </is>
      </c>
      <c r="F43" s="56" t="n"/>
      <c r="G43" s="57" t="n"/>
      <c r="H43" s="190" t="n"/>
      <c r="I43" s="57" t="n"/>
    </row>
    <row r="44" ht="30" customHeight="1">
      <c r="A44" s="187" t="inlineStr">
        <is>
          <t>Capacity &amp; Backlog</t>
        </is>
      </c>
      <c r="B44" s="188" t="inlineStr">
        <is>
          <t>20%</t>
        </is>
      </c>
      <c r="C44" s="197" t="inlineStr">
        <is>
          <t>7/10</t>
        </is>
      </c>
      <c r="D44" s="197" t="inlineStr">
        <is>
          <t>14.0</t>
        </is>
      </c>
      <c r="E44" s="40" t="inlineStr">
        <is>
          <t>Backlog $38M vs WC: negative — ratio immeasurable. GP margins compressed from 16%→9% in 2yr.</t>
        </is>
      </c>
      <c r="F44" s="56" t="n"/>
      <c r="G44" s="57" t="n"/>
      <c r="H44" s="190" t="n"/>
      <c r="I44" s="57" t="n"/>
    </row>
    <row r="45" ht="30" customHeight="1">
      <c r="A45" s="187" t="inlineStr">
        <is>
          <t>Banking &amp; Liquidity</t>
        </is>
      </c>
      <c r="B45" s="188" t="inlineStr">
        <is>
          <t>15%</t>
        </is>
      </c>
      <c r="C45" s="197" t="inlineStr">
        <is>
          <t>8/10</t>
        </is>
      </c>
      <c r="D45" s="197" t="inlineStr">
        <is>
          <t>12.0</t>
        </is>
      </c>
      <c r="E45" s="40" t="inlineStr">
        <is>
          <t>$2M line, 94% utilized. Bank declined limit increase request. EDF-X EWS: SEVERE FLAG triggered.</t>
        </is>
      </c>
      <c r="F45" s="56" t="n"/>
      <c r="G45" s="57" t="n"/>
      <c r="H45" s="190" t="n"/>
      <c r="I45" s="57" t="n"/>
    </row>
    <row r="46" ht="30" customHeight="1">
      <c r="A46" s="187" t="inlineStr">
        <is>
          <t>Obligee Quality</t>
        </is>
      </c>
      <c r="B46" s="188" t="inlineStr">
        <is>
          <t>10%</t>
        </is>
      </c>
      <c r="C46" s="189" t="inlineStr">
        <is>
          <t>4/10</t>
        </is>
      </c>
      <c r="D46" s="189" t="inlineStr">
        <is>
          <t>4.0</t>
        </is>
      </c>
      <c r="E46" s="40" t="inlineStr">
        <is>
          <t>Mix of private developers (3 spec projects) + one public school project. Spec developer risk.</t>
        </is>
      </c>
      <c r="F46" s="56" t="n"/>
      <c r="G46" s="57" t="n"/>
      <c r="H46" s="190" t="n"/>
      <c r="I46" s="57" t="n"/>
    </row>
    <row r="47" ht="24" customHeight="1">
      <c r="A47" s="203" t="inlineStr">
        <is>
          <t>COMPOSITE SCORE</t>
        </is>
      </c>
      <c r="B47" s="57" t="n"/>
      <c r="C47" s="204" t="inlineStr">
        <is>
          <t>79/100</t>
        </is>
      </c>
      <c r="D47" s="205" t="inlineStr">
        <is>
          <t>→ ⛔ BLACK</t>
        </is>
      </c>
      <c r="E47" s="206" t="inlineStr">
        <is>
          <t>ACTION: DECLINE. Negative WC identified in Orbis year-end financials. EDF-X EWS flag triggered. Red line.</t>
        </is>
      </c>
      <c r="F47" s="56" t="n"/>
      <c r="G47" s="56" t="n"/>
      <c r="H47" s="56" t="n"/>
      <c r="I47" s="57" t="n"/>
    </row>
    <row r="48" ht="5" customHeight="1"/>
  </sheetData>
  <mergeCells count="72">
    <mergeCell ref="H35:I35"/>
    <mergeCell ref="B18:B19"/>
    <mergeCell ref="C24:G24"/>
    <mergeCell ref="C7"/>
    <mergeCell ref="H43:I43"/>
    <mergeCell ref="B6"/>
    <mergeCell ref="E7"/>
    <mergeCell ref="B24"/>
    <mergeCell ref="E34:G34"/>
    <mergeCell ref="A3:I3"/>
    <mergeCell ref="A16:A17"/>
    <mergeCell ref="H31:I31"/>
    <mergeCell ref="H44:I44"/>
    <mergeCell ref="H40:I40"/>
    <mergeCell ref="A13:A15"/>
    <mergeCell ref="C26:G26"/>
    <mergeCell ref="E46:G46"/>
    <mergeCell ref="H25:I25"/>
    <mergeCell ref="H34:I34"/>
    <mergeCell ref="A2:I2"/>
    <mergeCell ref="B26"/>
    <mergeCell ref="E36:G36"/>
    <mergeCell ref="A40:G40"/>
    <mergeCell ref="A5:I5"/>
    <mergeCell ref="A31:G31"/>
    <mergeCell ref="E38:I38"/>
    <mergeCell ref="A10:A12"/>
    <mergeCell ref="E45:G45"/>
    <mergeCell ref="B7"/>
    <mergeCell ref="B25"/>
    <mergeCell ref="C25:G25"/>
    <mergeCell ref="H46:I46"/>
    <mergeCell ref="C6"/>
    <mergeCell ref="H36:I36"/>
    <mergeCell ref="A22:I22"/>
    <mergeCell ref="A4:I4"/>
    <mergeCell ref="A18:A19"/>
    <mergeCell ref="F6:I6"/>
    <mergeCell ref="B27"/>
    <mergeCell ref="A6"/>
    <mergeCell ref="F7:I7"/>
    <mergeCell ref="E37:G37"/>
    <mergeCell ref="H45:I45"/>
    <mergeCell ref="A7"/>
    <mergeCell ref="D6"/>
    <mergeCell ref="A47:B47"/>
    <mergeCell ref="C27:G27"/>
    <mergeCell ref="H37:I37"/>
    <mergeCell ref="C23:G23"/>
    <mergeCell ref="H28:I28"/>
    <mergeCell ref="E43:G43"/>
    <mergeCell ref="H27:I27"/>
    <mergeCell ref="A30:I30"/>
    <mergeCell ref="A38:B38"/>
    <mergeCell ref="E42:G42"/>
    <mergeCell ref="E33:G33"/>
    <mergeCell ref="B10:B12"/>
    <mergeCell ref="H24:I24"/>
    <mergeCell ref="H42:I42"/>
    <mergeCell ref="D7"/>
    <mergeCell ref="B13:B15"/>
    <mergeCell ref="C28:G28"/>
    <mergeCell ref="A1:I1"/>
    <mergeCell ref="H33:I33"/>
    <mergeCell ref="E6"/>
    <mergeCell ref="E35:G35"/>
    <mergeCell ref="H23:I23"/>
    <mergeCell ref="B16:B17"/>
    <mergeCell ref="B28"/>
    <mergeCell ref="E44:G44"/>
    <mergeCell ref="E47:I47"/>
    <mergeCell ref="H26:I26"/>
  </mergeCells>
  <pageMargins left="0.75" right="0.75" top="1" bottom="1" header="0.5" footer="0.5"/>
</worksheet>
</file>

<file path=xl/worksheets/sheet18.xml><?xml version="1.0" encoding="utf-8"?>
<worksheet xmlns="http://schemas.openxmlformats.org/spreadsheetml/2006/main">
  <sheetPr>
    <tabColor rgb="007B341E"/>
    <outlinePr summaryBelow="1" summaryRight="1"/>
    <pageSetUpPr/>
  </sheetPr>
  <dimension ref="A1:I46"/>
  <sheetViews>
    <sheetView showGridLines="0" workbookViewId="0">
      <pane ySplit="9" topLeftCell="A10" activePane="bottomLeft" state="frozen"/>
      <selection pane="bottomLeft" activeCell="A1" sqref="A1"/>
    </sheetView>
  </sheetViews>
  <sheetFormatPr baseColWidth="8" defaultRowHeight="15"/>
  <cols>
    <col width="20" customWidth="1" min="1" max="1"/>
    <col width="10" customWidth="1" min="2" max="2"/>
    <col width="28" customWidth="1" min="3" max="3"/>
    <col width="26" customWidth="1" min="4" max="4"/>
    <col width="38" customWidth="1" min="5" max="5"/>
    <col width="28" customWidth="1" min="6" max="6"/>
    <col width="28" customWidth="1" min="7" max="7"/>
    <col width="28" customWidth="1" min="8" max="8"/>
    <col width="14" customWidth="1" min="9" max="9"/>
  </cols>
  <sheetData>
    <row r="1" ht="40" customHeight="1">
      <c r="A1" s="94" t="inlineStr">
        <is>
          <t xml:space="preserve">  Commercial General Liability Risk Signal Model  |  Risk Signal Model</t>
        </is>
      </c>
    </row>
    <row r="2" ht="16" customHeight="1">
      <c r="A2" s="155" t="inlineStr">
        <is>
          <t xml:space="preserve">  Risk signal with Praedicat mass tort screening at the core — operations hazard, jurisdiction, and loss quality</t>
        </is>
      </c>
    </row>
    <row r="3" ht="14" customHeight="1">
      <c r="A3" s="134" t="inlineStr">
        <is>
          <t xml:space="preserve">  Typical clients: All commercial businesses — contractors, manufacturers, retailers, tech, healthcare, hospitality</t>
        </is>
      </c>
    </row>
    <row r="4" ht="4" customHeight="1">
      <c r="A4" s="33" t="n"/>
    </row>
    <row r="5" ht="14" customHeight="1">
      <c r="A5" s="115" t="inlineStr">
        <is>
          <t xml:space="preserve">  AUTO-ENRICHMENT → SCORING → SIGNAL FLOW</t>
        </is>
      </c>
    </row>
    <row r="6" ht="24" customHeight="1">
      <c r="A6" s="116" t="inlineStr">
        <is>
          <t xml:space="preserve">  1. Submission Received  ▶</t>
        </is>
      </c>
      <c r="B6" s="117" t="inlineStr">
        <is>
          <t xml:space="preserve">  2. Praedicat Screen  ▶</t>
        </is>
      </c>
      <c r="C6" s="116" t="inlineStr">
        <is>
          <t xml:space="preserve">  3. Auto-Enrich  ▶</t>
        </is>
      </c>
      <c r="D6" s="117" t="inlineStr">
        <is>
          <t xml:space="preserve">  4. Score 5 Dimensions  ▶</t>
        </is>
      </c>
      <c r="E6" s="116" t="inlineStr">
        <is>
          <t xml:space="preserve">  5. Red Line Check  ▶</t>
        </is>
      </c>
      <c r="F6" s="117" t="inlineStr">
        <is>
          <t xml:space="preserve">  6. Signal + Class</t>
        </is>
      </c>
    </row>
    <row r="7" ht="24" customHeight="1">
      <c r="A7" s="118" t="inlineStr">
        <is>
          <t xml:space="preserve">  Entity + NAICS/SIC + revenue/payroll + state(s) + products description</t>
        </is>
      </c>
      <c r="B7" s="118" t="inlineStr">
        <is>
          <t xml:space="preserve">  Litagion agent check on NAICS + product keywords — fires FIRST as potential red line</t>
        </is>
      </c>
      <c r="C7" s="118" t="inlineStr">
        <is>
          <t xml:space="preserve">  Orbis financials + EDF-X + Cortera CPR/DOT + Economy.com jurisdiction risk</t>
        </is>
      </c>
      <c r="D7" s="118" t="inlineStr">
        <is>
          <t xml:space="preserve">  Hazard + jurisdiction + loss + financial + safety</t>
        </is>
      </c>
      <c r="E7" s="118" t="inlineStr">
        <is>
          <t xml:space="preserve">  PFAS/mass tort confirmation → BLACK. OSHA willful → RED.</t>
        </is>
      </c>
      <c r="F7" s="118" t="inlineStr">
        <is>
          <t xml:space="preserve">  RAG signal + ISO class recommendation + limits suggestion → UW</t>
        </is>
      </c>
    </row>
    <row r="8" ht="5" customHeight="1"/>
    <row r="9" ht="28" customHeight="1">
      <c r="A9" s="156" t="inlineStr">
        <is>
          <t>Risk Dimension</t>
        </is>
      </c>
      <c r="B9" s="156" t="inlineStr">
        <is>
          <t>Weight</t>
        </is>
      </c>
      <c r="C9" s="156" t="inlineStr">
        <is>
          <t>Signal / Feature</t>
        </is>
      </c>
      <c r="D9" s="156" t="inlineStr">
        <is>
          <t>Moody's Data Source</t>
        </is>
      </c>
      <c r="E9" s="156" t="inlineStr">
        <is>
          <t>Scoring Logic (0–10 scale)</t>
        </is>
      </c>
      <c r="F9" s="156" t="inlineStr">
        <is>
          <t>🟢 Low Risk (0–3)</t>
        </is>
      </c>
      <c r="G9" s="156" t="inlineStr">
        <is>
          <t>🟡 Moderate (4–6)</t>
        </is>
      </c>
      <c r="H9" s="156" t="inlineStr">
        <is>
          <t>🔴 High Risk (7–10)</t>
        </is>
      </c>
      <c r="I9" s="157" t="inlineStr">
        <is>
          <t>Auto Red Line?</t>
        </is>
      </c>
    </row>
    <row r="10" ht="40" customHeight="1">
      <c r="A10" s="158" t="inlineStr">
        <is>
          <t>Operations Hazard &amp; Mass Tort Screen</t>
        </is>
      </c>
      <c r="B10" s="159" t="inlineStr">
        <is>
          <t>30%</t>
        </is>
      </c>
      <c r="C10" s="40" t="inlineStr">
        <is>
          <t>Praedicat Litagion® Agent Screen</t>
        </is>
      </c>
      <c r="D10" s="124" t="inlineStr">
        <is>
          <t>Praedicat — NAICS/SIC + product/chemical disclosure matched to Litagion agent database</t>
        </is>
      </c>
      <c r="E10" s="160" t="inlineStr">
        <is>
          <t>No agents identified→0 | Agent identified, low probability→4 | High probability agent→8 | Confirmed mass tort→10</t>
        </is>
      </c>
      <c r="F10" s="161" t="inlineStr">
        <is>
          <t>No Litagion agents identified in operations or products. Clean mass tort screen.</t>
        </is>
      </c>
      <c r="G10" s="162" t="inlineStr">
        <is>
          <t>One agent with low mass tort probability. Disclosed and manageable with endorsement.</t>
        </is>
      </c>
      <c r="H10" s="163" t="inlineStr">
        <is>
          <t>High-probability Litagion agent (PFAS, talc equivalent). Mass tort accumulation risk.</t>
        </is>
      </c>
      <c r="I10" s="167" t="inlineStr">
        <is>
          <t>⛔ Confirmed PFAS/mass tort involvement = BLACK → E&amp;S market only</t>
        </is>
      </c>
    </row>
    <row r="11" ht="40" customHeight="1">
      <c r="A11" s="165" t="n"/>
      <c r="B11" s="165" t="n"/>
      <c r="C11" s="40" t="inlineStr">
        <is>
          <t>ISO CGL Hazard Class</t>
        </is>
      </c>
      <c r="D11" s="124" t="inlineStr">
        <is>
          <t>Orbis SIC/NAICS → ISO CGL class code mapping</t>
        </is>
      </c>
      <c r="E11" s="160" t="inlineStr">
        <is>
          <t>Class 1 (office/retail)→1 | Class 2 (light mfg)→3 | Class 3 (contractor)→6 | Class 4 (hazardous)→9</t>
        </is>
      </c>
      <c r="F11" s="161" t="inlineStr">
        <is>
          <t>Low-hazard class: office, retail, light service. No elevated injury potential.</t>
        </is>
      </c>
      <c r="G11" s="162" t="inlineStr">
        <is>
          <t>Moderate-hazard: light manufacturing, contractor operations, food service.</t>
        </is>
      </c>
      <c r="H11" s="163" t="inlineStr">
        <is>
          <t>High-hazard class: chemical processing, demolition, roofing, amusement parks.</t>
        </is>
      </c>
      <c r="I11" s="164" t="n"/>
    </row>
    <row r="12" ht="40" customHeight="1">
      <c r="A12" s="166" t="n"/>
      <c r="B12" s="166" t="n"/>
      <c r="C12" s="40" t="inlineStr">
        <is>
          <t>Products Liability Exposure</t>
        </is>
      </c>
      <c r="D12" s="124" t="inlineStr">
        <is>
          <t>Praedicat product screening + Orbis product/trade data + application</t>
        </is>
      </c>
      <c r="E12" s="160" t="inlineStr">
        <is>
          <t>No products→0 | Low-risk commercial products→2 | Consumer products→5 | Ingested/children's→8 | Imported (de facto mfr)→9</t>
        </is>
      </c>
      <c r="F12" s="161" t="inlineStr">
        <is>
          <t>B2B services only. No products manufactured or sold.</t>
        </is>
      </c>
      <c r="G12" s="162" t="inlineStr">
        <is>
          <t>Commercial B2B products with limited consumer exposure. Low ingestion risk.</t>
        </is>
      </c>
      <c r="H12" s="163" t="inlineStr">
        <is>
          <t>Consumer products, food/pharma, children's products, or foreign-manufactured imported goods.</t>
        </is>
      </c>
      <c r="I12" s="164" t="n"/>
    </row>
    <row r="13" ht="40" customHeight="1">
      <c r="A13" s="168" t="inlineStr">
        <is>
          <t>Jurisdictional &amp; Litigation Risk</t>
        </is>
      </c>
      <c r="B13" s="169" t="inlineStr">
        <is>
          <t>25%</t>
        </is>
      </c>
      <c r="C13" s="40" t="inlineStr">
        <is>
          <t>Judicial Hellhole Exposure (Social Inflation)</t>
        </is>
      </c>
      <c r="D13" s="124" t="inlineStr">
        <is>
          <t>Praedicat jurisdiction analytics + Economy.com state-level litigation climate</t>
        </is>
      </c>
      <c r="E13" s="160" t="inlineStr">
        <is>
          <t>Operations only in low-litigation states→1 | Mixed→4 | Majority in top-5 hellhole states→8</t>
        </is>
      </c>
      <c r="F13" s="161" t="inlineStr">
        <is>
          <t>Operations primarily in low-litigation states (TX, TN, OH, AZ). Low nuclear verdict risk.</t>
        </is>
      </c>
      <c r="G13" s="162" t="inlineStr">
        <is>
          <t>Some CA/FL/NY operations. Mixed profile. Payroll-weighted state analysis performed.</t>
        </is>
      </c>
      <c r="H13" s="163" t="inlineStr">
        <is>
          <t>&gt;60% of payroll in top judicial hellhole states (CA, FL, NY, IL, GA, LA).</t>
        </is>
      </c>
      <c r="I13" s="164" t="n"/>
    </row>
    <row r="14" ht="40" customHeight="1">
      <c r="A14" s="166" t="n"/>
      <c r="B14" s="166" t="n"/>
      <c r="C14" s="40" t="inlineStr">
        <is>
          <t>Nuclear Verdict Exposure (Industry × Venue)</t>
        </is>
      </c>
      <c r="D14" s="124" t="inlineStr">
        <is>
          <t>Praedicat nuclear verdict data — 135+ verdicts &gt;$10M in 2024 ($31.3B total)</t>
        </is>
      </c>
      <c r="E14" s="160" t="inlineStr">
        <is>
          <t>Industry rarely produces NV→1 | Occasionally→4 | Frequently NV-exposed industry in hellhole→8</t>
        </is>
      </c>
      <c r="F14" s="161" t="inlineStr">
        <is>
          <t>Industry sector has low nuclear verdict history. Operations in low-risk venues.</t>
        </is>
      </c>
      <c r="G14" s="162" t="inlineStr">
        <is>
          <t>Some NV exposure by sector/venue. TPLF not prevalent in operating jurisdictions.</t>
        </is>
      </c>
      <c r="H14" s="163" t="inlineStr">
        <is>
          <t>High-NV industry (trucking, construction, nursing homes, hotels) + hellhole venue.</t>
        </is>
      </c>
      <c r="I14" s="164" t="n"/>
    </row>
    <row r="15" ht="40" customHeight="1">
      <c r="A15" s="170" t="inlineStr">
        <is>
          <t>Loss Experience</t>
        </is>
      </c>
      <c r="B15" s="171" t="inlineStr">
        <is>
          <t>20%</t>
        </is>
      </c>
      <c r="C15" s="40" t="inlineStr">
        <is>
          <t>5-Year Claim Frequency Trend</t>
        </is>
      </c>
      <c r="D15" s="124" t="inlineStr">
        <is>
          <t>Application loss runs + Praedicat industry benchmark</t>
        </is>
      </c>
      <c r="E15" s="160" t="inlineStr">
        <is>
          <t>0 claims→0 | Below industry avg→2 | At avg→4 | Above avg→7 | 2x+ avg→9</t>
        </is>
      </c>
      <c r="F15" s="161" t="inlineStr">
        <is>
          <t>Zero claims in 5yr or well below industry frequency benchmark (Praedicat).</t>
        </is>
      </c>
      <c r="G15" s="162" t="inlineStr">
        <is>
          <t>At industry average. No adverse trend. Single premises claim explained.</t>
        </is>
      </c>
      <c r="H15" s="163" t="inlineStr">
        <is>
          <t>2x+ industry average frequency. Systemic operational risk. Management issue.</t>
        </is>
      </c>
      <c r="I15" s="164" t="n"/>
    </row>
    <row r="16" ht="40" customHeight="1">
      <c r="A16" s="166" t="n"/>
      <c r="B16" s="166" t="n"/>
      <c r="C16" s="40" t="inlineStr">
        <is>
          <t>Severity &amp; Large Loss Occurrence</t>
        </is>
      </c>
      <c r="D16" s="124" t="inlineStr">
        <is>
          <t>Application loss runs + Praedicat severity benchmarks</t>
        </is>
      </c>
      <c r="E16" s="160" t="inlineStr">
        <is>
          <t>No loss &gt;$100K→0 | 1 loss $100–500K→3 | 1 loss &gt;$500K→6 | 2+ large losses→9</t>
        </is>
      </c>
      <c r="F16" s="161" t="inlineStr">
        <is>
          <t>No loss exceeding $100K in 5 years. Severity well-controlled.</t>
        </is>
      </c>
      <c r="G16" s="162" t="inlineStr">
        <is>
          <t>One loss $100–500K. Isolated incident with documented corrective action.</t>
        </is>
      </c>
      <c r="H16" s="163" t="inlineStr">
        <is>
          <t>Multiple large losses or single loss &gt;$1M. Pattern of severity.</t>
        </is>
      </c>
      <c r="I16" s="164" t="n"/>
    </row>
    <row r="17" ht="40" customHeight="1">
      <c r="A17" s="172" t="inlineStr">
        <is>
          <t>Financial Stability of Insured</t>
        </is>
      </c>
      <c r="B17" s="173" t="inlineStr">
        <is>
          <t>15%</t>
        </is>
      </c>
      <c r="C17" s="40" t="inlineStr">
        <is>
          <t>EDF-X PD — Financial Distress of Insured</t>
        </is>
      </c>
      <c r="D17" s="124" t="inlineStr">
        <is>
          <t>EDF-X private/public company model</t>
        </is>
      </c>
      <c r="E17" s="160" t="inlineStr">
        <is>
          <t>PD &lt;1%→1 | 1–3%→4 | 3–6%→7 | &gt;6%→9</t>
        </is>
      </c>
      <c r="F17" s="161" t="inlineStr">
        <is>
          <t>Financially stable. Low distress risk. Cannot be cornered into cutting safety corners.</t>
        </is>
      </c>
      <c r="G17" s="162" t="inlineStr">
        <is>
          <t>Moderate financial pressure. Adequate for now. Monitor quarterly.</t>
        </is>
      </c>
      <c r="H17" s="163" t="inlineStr">
        <is>
          <t>Financially distressed. Higher risk of deferred maintenance, safety shortcuts, claim escalation.</t>
        </is>
      </c>
      <c r="I17" s="164" t="n"/>
    </row>
    <row r="18" ht="40" customHeight="1">
      <c r="A18" s="166" t="n"/>
      <c r="B18" s="166" t="n"/>
      <c r="C18" s="40" t="inlineStr">
        <is>
          <t>Cortera Credit Score + Revenue Verification</t>
        </is>
      </c>
      <c r="D18" s="124" t="inlineStr">
        <is>
          <t>Cortera CPR score + Orbis revenue cross-check vs. application</t>
        </is>
      </c>
      <c r="E18" s="160" t="inlineStr">
        <is>
          <t>CPR &gt;80 + Revenue match→1 | CPR 60–80→4 | Revenue mismatch &gt;20%→6 | CPR &lt;40→8</t>
        </is>
      </c>
      <c r="F18" s="161" t="inlineStr">
        <is>
          <t>CPR &gt;80. Revenue verified vs. Orbis. No discrepancy. Strong payment behavior.</t>
        </is>
      </c>
      <c r="G18" s="162" t="inlineStr">
        <is>
          <t>CPR 60–80. Minor revenue variance (attributable to timing/reporting). Acceptable.</t>
        </is>
      </c>
      <c r="H18" s="163" t="inlineStr">
        <is>
          <t>CPR &lt;40 or revenue stated on app differs &gt;20% from Orbis/Cortera data.</t>
        </is>
      </c>
      <c r="I18" s="164" t="n"/>
    </row>
    <row r="19" ht="40" customHeight="1">
      <c r="A19" s="174" t="inlineStr">
        <is>
          <t>Safety &amp; Risk Management</t>
        </is>
      </c>
      <c r="B19" s="175" t="inlineStr">
        <is>
          <t>10%</t>
        </is>
      </c>
      <c r="C19" s="40" t="inlineStr">
        <is>
          <t>Cortera DOT Safety Score (if transportation exposure)</t>
        </is>
      </c>
      <c r="D19" s="124" t="inlineStr">
        <is>
          <t>Cortera — FMCSA DOT safety scores for fleet operators</t>
        </is>
      </c>
      <c r="E19" s="160" t="inlineStr">
        <is>
          <t>DOT score: low risk→1 | Medium→4 | High→7 | Out-of-service ordered→10</t>
        </is>
      </c>
      <c r="F19" s="161" t="inlineStr">
        <is>
          <t>DOT score: low risk. Clean inspection record. Low hours-of-service violations.</t>
        </is>
      </c>
      <c r="G19" s="162" t="inlineStr">
        <is>
          <t>Medium DOT risk. Some violations but no pattern. Safety plan in place.</t>
        </is>
      </c>
      <c r="H19" s="163" t="inlineStr">
        <is>
          <t>High DOT risk or out-of-service orders. Fleet is a claims engine.</t>
        </is>
      </c>
      <c r="I19" s="164" t="n"/>
    </row>
    <row r="20" ht="40" customHeight="1">
      <c r="A20" s="166" t="n"/>
      <c r="B20" s="166" t="n"/>
      <c r="C20" s="40" t="inlineStr">
        <is>
          <t>Risk Management Maturity</t>
        </is>
      </c>
      <c r="D20" s="124" t="inlineStr">
        <is>
          <t>Application + Orbis certifications + EMR from workers comp (if available)</t>
        </is>
      </c>
      <c r="E20" s="160" t="inlineStr">
        <is>
          <t>Formal program + ISO cert→1 | Documented program→3 | Informal only→6 | None→8</t>
        </is>
      </c>
      <c r="F20" s="161" t="inlineStr">
        <is>
          <t>Formal safety program. ISO 9001/45001. Dedicated safety officer. Low EMR.</t>
        </is>
      </c>
      <c r="G20" s="162" t="inlineStr">
        <is>
          <t>Documented safety program. No formal certification. EMR at industry average.</t>
        </is>
      </c>
      <c r="H20" s="163" t="inlineStr">
        <is>
          <t>No safety program. High EMR. Multiple OSHA violations in Cortera/public records.</t>
        </is>
      </c>
      <c r="I20" s="164" t="n"/>
    </row>
    <row r="21" ht="5" customHeight="1"/>
    <row r="22" ht="16" customHeight="1">
      <c r="A22" s="136" t="inlineStr">
        <is>
          <t xml:space="preserve">  RED LINE RULES — AUTOMATIC SIGNAL OVERRIDE (Triggers ⛔ BLACK regardless of score)</t>
        </is>
      </c>
    </row>
    <row r="23" ht="20" customHeight="1">
      <c r="A23" s="180" t="inlineStr">
        <is>
          <t>#</t>
        </is>
      </c>
      <c r="B23" s="180" t="inlineStr">
        <is>
          <t>Red Line Condition</t>
        </is>
      </c>
      <c r="C23" s="180" t="inlineStr">
        <is>
          <t>Moody's Data Source That Identifies It</t>
        </is>
      </c>
      <c r="D23" s="56" t="n"/>
      <c r="E23" s="56" t="n"/>
      <c r="F23" s="56" t="n"/>
      <c r="G23" s="57" t="n"/>
      <c r="H23" s="180" t="inlineStr">
        <is>
          <t>Action</t>
        </is>
      </c>
      <c r="I23" s="57" t="n"/>
    </row>
    <row r="24" ht="28" customHeight="1">
      <c r="A24" s="181" t="inlineStr">
        <is>
          <t>1</t>
        </is>
      </c>
      <c r="B24" s="182" t="inlineStr">
        <is>
          <t>Confirmed PFAS or high-probability Litagion® agent in products/operations</t>
        </is>
      </c>
      <c r="C24" s="183" t="inlineStr">
        <is>
          <t>Praedicat Litagion agent database — matched on NAICS + product disclosure</t>
        </is>
      </c>
      <c r="D24" s="56" t="n"/>
      <c r="E24" s="56" t="n"/>
      <c r="F24" s="56" t="n"/>
      <c r="G24" s="57" t="n"/>
      <c r="H24" s="167" t="inlineStr">
        <is>
          <t>⛔ BLACK — Decline in standard market. Refer to specialty E&amp;S with PFAS exclusion.</t>
        </is>
      </c>
      <c r="I24" s="57" t="n"/>
    </row>
    <row r="25" ht="28" customHeight="1">
      <c r="A25" s="181" t="inlineStr">
        <is>
          <t>2</t>
        </is>
      </c>
      <c r="B25" s="182" t="inlineStr">
        <is>
          <t>Active mass tort lawsuit naming the insured</t>
        </is>
      </c>
      <c r="C25" s="183" t="inlineStr">
        <is>
          <t>RDC/GRID litigation monitoring + adverse news</t>
        </is>
      </c>
      <c r="D25" s="56" t="n"/>
      <c r="E25" s="56" t="n"/>
      <c r="F25" s="56" t="n"/>
      <c r="G25" s="57" t="n"/>
      <c r="H25" s="167" t="inlineStr">
        <is>
          <t>⛔ BLACK — Prior-acts exclusion minimum. Typically decline new business.</t>
        </is>
      </c>
      <c r="I25" s="57" t="n"/>
    </row>
    <row r="26" ht="28" customHeight="1">
      <c r="A26" s="181" t="inlineStr">
        <is>
          <t>3</t>
        </is>
      </c>
      <c r="B26" s="182" t="inlineStr">
        <is>
          <t>OSHA willful violation in last 3 years</t>
        </is>
      </c>
      <c r="C26" s="183" t="inlineStr">
        <is>
          <t>Cortera public records + application</t>
        </is>
      </c>
      <c r="D26" s="56" t="n"/>
      <c r="E26" s="56" t="n"/>
      <c r="F26" s="56" t="n"/>
      <c r="G26" s="57" t="n"/>
      <c r="H26" s="167" t="inlineStr">
        <is>
          <t>⛔ RED/BLACK — Refer to specialty market. Willful = egregious disregard for safety.</t>
        </is>
      </c>
      <c r="I26" s="57" t="n"/>
    </row>
    <row r="27" ht="28" customHeight="1">
      <c r="A27" s="181" t="inlineStr">
        <is>
          <t>4</t>
        </is>
      </c>
      <c r="B27" s="182" t="inlineStr">
        <is>
          <t>Imported goods with no domestic manufacturer (de facto manufacturer liability)</t>
        </is>
      </c>
      <c r="C27" s="183" t="inlineStr">
        <is>
          <t>Orbis trade/supply chain data + application product description</t>
        </is>
      </c>
      <c r="D27" s="56" t="n"/>
      <c r="E27" s="56" t="n"/>
      <c r="F27" s="56" t="n"/>
      <c r="G27" s="57" t="n"/>
      <c r="H27" s="167" t="inlineStr">
        <is>
          <t>⛔ RED — Requires specific products liability endorsement + additional premium.</t>
        </is>
      </c>
      <c r="I27" s="57" t="n"/>
    </row>
    <row r="28" ht="5" customHeight="1"/>
    <row r="29" ht="16" customHeight="1">
      <c r="A29" s="134" t="inlineStr">
        <is>
          <t xml:space="preserve">  HYPOTHETICAL SCORED SCENARIOS — Model In Action</t>
        </is>
      </c>
    </row>
    <row r="30" ht="20" customHeight="1">
      <c r="A30" s="184" t="inlineStr">
        <is>
          <t xml:space="preserve">  SCENARIO 1 — MidwestLogistics LLC  |  Regional LTL trucking company. 120 trucks. $28M revenue. 4 states. Clean DOT record.</t>
        </is>
      </c>
      <c r="H30" s="185" t="inlineStr">
        <is>
          <t>SIGNAL: 🟡 YELLOW</t>
        </is>
      </c>
    </row>
    <row r="31" ht="16" customHeight="1">
      <c r="A31" s="186" t="inlineStr">
        <is>
          <t>Dimension</t>
        </is>
      </c>
      <c r="B31" s="186" t="inlineStr">
        <is>
          <t>Wt %</t>
        </is>
      </c>
      <c r="C31" s="186" t="inlineStr">
        <is>
          <t>Score (0–10)</t>
        </is>
      </c>
      <c r="D31" s="186" t="inlineStr">
        <is>
          <t>Wtd Contribution</t>
        </is>
      </c>
      <c r="E31" s="186" t="inlineStr">
        <is>
          <t>Key Signals Driving Score</t>
        </is>
      </c>
      <c r="F31" s="186" t="n"/>
      <c r="G31" s="186" t="n"/>
      <c r="H31" s="186" t="inlineStr">
        <is>
          <t>Red Line?</t>
        </is>
      </c>
      <c r="I31" s="186" t="n"/>
    </row>
    <row r="32" ht="30" customHeight="1">
      <c r="A32" s="187" t="inlineStr">
        <is>
          <t>Operations Hazard &amp; Mass Tort</t>
        </is>
      </c>
      <c r="B32" s="188" t="inlineStr">
        <is>
          <t>30%</t>
        </is>
      </c>
      <c r="C32" s="191" t="inlineStr">
        <is>
          <t>3/10</t>
        </is>
      </c>
      <c r="D32" s="191" t="inlineStr">
        <is>
          <t>9.0</t>
        </is>
      </c>
      <c r="E32" s="40" t="inlineStr">
        <is>
          <t>Praedicat: no Litagion agents. ISO class: contractor-transport (moderate). No products mfg.</t>
        </is>
      </c>
      <c r="F32" s="56" t="n"/>
      <c r="G32" s="57" t="n"/>
      <c r="H32" s="190" t="n"/>
      <c r="I32" s="57" t="n"/>
    </row>
    <row r="33" ht="30" customHeight="1">
      <c r="A33" s="187" t="inlineStr">
        <is>
          <t>Jurisdictional &amp; Litigation</t>
        </is>
      </c>
      <c r="B33" s="188" t="inlineStr">
        <is>
          <t>25%</t>
        </is>
      </c>
      <c r="C33" s="189" t="inlineStr">
        <is>
          <t>6/10</t>
        </is>
      </c>
      <c r="D33" s="189" t="inlineStr">
        <is>
          <t>15.0</t>
        </is>
      </c>
      <c r="E33" s="40" t="inlineStr">
        <is>
          <t>Operates: IL, WI, OH, KY. Illinois = judicial hellhole. Nuclear verdict exposure: trucking sector elevated.</t>
        </is>
      </c>
      <c r="F33" s="56" t="n"/>
      <c r="G33" s="57" t="n"/>
      <c r="H33" s="190" t="n"/>
      <c r="I33" s="57" t="n"/>
    </row>
    <row r="34" ht="30" customHeight="1">
      <c r="A34" s="187" t="inlineStr">
        <is>
          <t>Loss Experience</t>
        </is>
      </c>
      <c r="B34" s="188" t="inlineStr">
        <is>
          <t>20%</t>
        </is>
      </c>
      <c r="C34" s="189" t="inlineStr">
        <is>
          <t>4/10</t>
        </is>
      </c>
      <c r="D34" s="189" t="inlineStr">
        <is>
          <t>8.0</t>
        </is>
      </c>
      <c r="E34" s="40" t="inlineStr">
        <is>
          <t>2 GL claims in 5yr (both slip-and-fall, &lt;$30K each). Below trucking industry avg frequency.</t>
        </is>
      </c>
      <c r="F34" s="56" t="n"/>
      <c r="G34" s="57" t="n"/>
      <c r="H34" s="190" t="n"/>
      <c r="I34" s="57" t="n"/>
    </row>
    <row r="35" ht="30" customHeight="1">
      <c r="A35" s="187" t="inlineStr">
        <is>
          <t>Financial Stability</t>
        </is>
      </c>
      <c r="B35" s="188" t="inlineStr">
        <is>
          <t>15%</t>
        </is>
      </c>
      <c r="C35" s="191" t="inlineStr">
        <is>
          <t>3/10</t>
        </is>
      </c>
      <c r="D35" s="191" t="inlineStr">
        <is>
          <t>4.5</t>
        </is>
      </c>
      <c r="E35" s="40" t="inlineStr">
        <is>
          <t>EDF-X PD: 1.2%. CPR: 72. Revenue verified: match. Financially stable family-owned business.</t>
        </is>
      </c>
      <c r="F35" s="56" t="n"/>
      <c r="G35" s="57" t="n"/>
      <c r="H35" s="190" t="n"/>
      <c r="I35" s="57" t="n"/>
    </row>
    <row r="36" ht="30" customHeight="1">
      <c r="A36" s="187" t="inlineStr">
        <is>
          <t>Safety &amp; Risk Management</t>
        </is>
      </c>
      <c r="B36" s="188" t="inlineStr">
        <is>
          <t>10%</t>
        </is>
      </c>
      <c r="C36" s="189" t="inlineStr">
        <is>
          <t>5/10</t>
        </is>
      </c>
      <c r="D36" s="189" t="inlineStr">
        <is>
          <t>5.0</t>
        </is>
      </c>
      <c r="E36" s="40" t="inlineStr">
        <is>
          <t>DOT score: medium risk. 3 hours-of-service violations in 24mo. Safety director in place.</t>
        </is>
      </c>
      <c r="F36" s="56" t="n"/>
      <c r="G36" s="57" t="n"/>
      <c r="H36" s="190" t="n"/>
      <c r="I36" s="57" t="n"/>
    </row>
    <row r="37" ht="24" customHeight="1">
      <c r="A37" s="192" t="inlineStr">
        <is>
          <t>COMPOSITE SCORE</t>
        </is>
      </c>
      <c r="B37" s="57" t="n"/>
      <c r="C37" s="193" t="inlineStr">
        <is>
          <t>44/100</t>
        </is>
      </c>
      <c r="D37" s="194" t="inlineStr">
        <is>
          <t>→ 🟡 YELLOW</t>
        </is>
      </c>
      <c r="E37" s="195" t="inlineStr">
        <is>
          <t>ACTION: Standard UW review. Auto liability key concern — pull DOT data, loss runs. GL portion manageable.</t>
        </is>
      </c>
      <c r="F37" s="56" t="n"/>
      <c r="G37" s="56" t="n"/>
      <c r="H37" s="56" t="n"/>
      <c r="I37" s="57" t="n"/>
    </row>
    <row r="38" ht="5" customHeight="1"/>
    <row r="39" ht="20" customHeight="1">
      <c r="A39" s="184" t="inlineStr">
        <is>
          <t xml:space="preserve">  SCENARIO 2 — ChemCoat Mfg Inc.  |  PFAS-based industrial coating manufacturer. $12M revenue. 2 facilities: NJ and GA.</t>
        </is>
      </c>
      <c r="H39" s="202" t="inlineStr">
        <is>
          <t>SIGNAL: ⛔ BLACK</t>
        </is>
      </c>
    </row>
    <row r="40" ht="16" customHeight="1">
      <c r="A40" s="186" t="inlineStr">
        <is>
          <t>Dimension</t>
        </is>
      </c>
      <c r="B40" s="186" t="inlineStr">
        <is>
          <t>Wt %</t>
        </is>
      </c>
      <c r="C40" s="186" t="inlineStr">
        <is>
          <t>Score (0–10)</t>
        </is>
      </c>
      <c r="D40" s="186" t="inlineStr">
        <is>
          <t>Wtd Contribution</t>
        </is>
      </c>
      <c r="E40" s="186" t="inlineStr">
        <is>
          <t>Key Signals Driving Score</t>
        </is>
      </c>
      <c r="F40" s="186" t="n"/>
      <c r="G40" s="186" t="n"/>
      <c r="H40" s="186" t="inlineStr">
        <is>
          <t>Red Line?</t>
        </is>
      </c>
      <c r="I40" s="186" t="n"/>
    </row>
    <row r="41" ht="30" customHeight="1">
      <c r="A41" s="187" t="inlineStr">
        <is>
          <t>Operations Hazard &amp; Mass Tort</t>
        </is>
      </c>
      <c r="B41" s="188" t="inlineStr">
        <is>
          <t>30%</t>
        </is>
      </c>
      <c r="C41" s="197" t="inlineStr">
        <is>
          <t>10/10</t>
        </is>
      </c>
      <c r="D41" s="197" t="inlineStr">
        <is>
          <t>30.0</t>
        </is>
      </c>
      <c r="E41" s="40" t="inlineStr">
        <is>
          <t>Praedicat: PFAS (PFOA/PFOS) confirmed in manufacturing process. Mass tort probability: HIGH. Accumulation risk: SEVERE.</t>
        </is>
      </c>
      <c r="F41" s="56" t="n"/>
      <c r="G41" s="57" t="n"/>
      <c r="H41" s="167" t="inlineStr">
        <is>
          <t>⛔ RED LINE: PFAS confirmed</t>
        </is>
      </c>
      <c r="I41" s="57" t="n"/>
    </row>
    <row r="42" ht="30" customHeight="1">
      <c r="A42" s="187" t="inlineStr">
        <is>
          <t>Jurisdictional &amp; Litigation</t>
        </is>
      </c>
      <c r="B42" s="188" t="inlineStr">
        <is>
          <t>25%</t>
        </is>
      </c>
      <c r="C42" s="197" t="inlineStr">
        <is>
          <t>9/10</t>
        </is>
      </c>
      <c r="D42" s="197" t="inlineStr">
        <is>
          <t>22.5</t>
        </is>
      </c>
      <c r="E42" s="40" t="inlineStr">
        <is>
          <t>NJ = highest PFAS litigation concentration nationally. GA: nuclear verdict risk elevated. Dual exposure.</t>
        </is>
      </c>
      <c r="F42" s="56" t="n"/>
      <c r="G42" s="57" t="n"/>
      <c r="H42" s="190" t="n"/>
      <c r="I42" s="57" t="n"/>
    </row>
    <row r="43" ht="30" customHeight="1">
      <c r="A43" s="187" t="inlineStr">
        <is>
          <t>Loss Experience</t>
        </is>
      </c>
      <c r="B43" s="188" t="inlineStr">
        <is>
          <t>20%</t>
        </is>
      </c>
      <c r="C43" s="189" t="inlineStr">
        <is>
          <t>5/10</t>
        </is>
      </c>
      <c r="D43" s="189" t="inlineStr">
        <is>
          <t>10.0</t>
        </is>
      </c>
      <c r="E43" s="40" t="inlineStr">
        <is>
          <t>0 prior GL claims (PFAS latency — claims emerge 10–20yr after exposure). Prior clean record misleading.</t>
        </is>
      </c>
      <c r="F43" s="56" t="n"/>
      <c r="G43" s="57" t="n"/>
      <c r="H43" s="190" t="n"/>
      <c r="I43" s="57" t="n"/>
    </row>
    <row r="44" ht="30" customHeight="1">
      <c r="A44" s="187" t="inlineStr">
        <is>
          <t>Financial Stability</t>
        </is>
      </c>
      <c r="B44" s="188" t="inlineStr">
        <is>
          <t>15%</t>
        </is>
      </c>
      <c r="C44" s="189" t="inlineStr">
        <is>
          <t>4/10</t>
        </is>
      </c>
      <c r="D44" s="189" t="inlineStr">
        <is>
          <t>6.0</t>
        </is>
      </c>
      <c r="E44" s="40" t="inlineStr">
        <is>
          <t>EDF-X PD: 1.8%. Financially stable. Irrelevant given red line trigger.</t>
        </is>
      </c>
      <c r="F44" s="56" t="n"/>
      <c r="G44" s="57" t="n"/>
      <c r="H44" s="190" t="n"/>
      <c r="I44" s="57" t="n"/>
    </row>
    <row r="45" ht="30" customHeight="1">
      <c r="A45" s="187" t="inlineStr">
        <is>
          <t>Safety &amp; Risk Management</t>
        </is>
      </c>
      <c r="B45" s="188" t="inlineStr">
        <is>
          <t>10%</t>
        </is>
      </c>
      <c r="C45" s="191" t="inlineStr">
        <is>
          <t>3/10</t>
        </is>
      </c>
      <c r="D45" s="191" t="inlineStr">
        <is>
          <t>3.0</t>
        </is>
      </c>
      <c r="E45" s="40" t="inlineStr">
        <is>
          <t>ISO 9001 certified. Strong safety program. Irrelevant: PFAS risk is product-inherent, not safety-manageable.</t>
        </is>
      </c>
      <c r="F45" s="56" t="n"/>
      <c r="G45" s="57" t="n"/>
      <c r="H45" s="190" t="n"/>
      <c r="I45" s="57" t="n"/>
    </row>
    <row r="46" ht="24" customHeight="1">
      <c r="A46" s="203" t="inlineStr">
        <is>
          <t>COMPOSITE SCORE</t>
        </is>
      </c>
      <c r="B46" s="57" t="n"/>
      <c r="C46" s="204" t="inlineStr">
        <is>
          <t>88/100</t>
        </is>
      </c>
      <c r="D46" s="205" t="inlineStr">
        <is>
          <t>→ ⛔ BLACK</t>
        </is>
      </c>
      <c r="E46" s="206" t="inlineStr">
        <is>
          <t>ACTION: DECLINE. Praedicat Litagion agent identified: PFAS compounds in manufacturing process. Red line triggered.</t>
        </is>
      </c>
      <c r="F46" s="56" t="n"/>
      <c r="G46" s="56" t="n"/>
      <c r="H46" s="56" t="n"/>
      <c r="I46" s="57" t="n"/>
    </row>
    <row r="47" ht="5" customHeight="1"/>
  </sheetData>
  <mergeCells count="71">
    <mergeCell ref="H35:I35"/>
    <mergeCell ref="C24:G24"/>
    <mergeCell ref="C7"/>
    <mergeCell ref="H43:I43"/>
    <mergeCell ref="B17:B18"/>
    <mergeCell ref="B6"/>
    <mergeCell ref="E7"/>
    <mergeCell ref="B24"/>
    <mergeCell ref="E34:G34"/>
    <mergeCell ref="H41:I41"/>
    <mergeCell ref="A3:I3"/>
    <mergeCell ref="H44:I44"/>
    <mergeCell ref="C26:G26"/>
    <mergeCell ref="H39:I39"/>
    <mergeCell ref="H25:I25"/>
    <mergeCell ref="H34:I34"/>
    <mergeCell ref="A2:I2"/>
    <mergeCell ref="B26"/>
    <mergeCell ref="E36:G36"/>
    <mergeCell ref="A5:I5"/>
    <mergeCell ref="B13:B14"/>
    <mergeCell ref="E45:G45"/>
    <mergeCell ref="A10:A12"/>
    <mergeCell ref="A39:G39"/>
    <mergeCell ref="B7"/>
    <mergeCell ref="B25"/>
    <mergeCell ref="C25:G25"/>
    <mergeCell ref="A37:B37"/>
    <mergeCell ref="A30:G30"/>
    <mergeCell ref="C6"/>
    <mergeCell ref="A46:B46"/>
    <mergeCell ref="H36:I36"/>
    <mergeCell ref="A22:I22"/>
    <mergeCell ref="A4:I4"/>
    <mergeCell ref="B19:B20"/>
    <mergeCell ref="F6:I6"/>
    <mergeCell ref="B15:B16"/>
    <mergeCell ref="B27"/>
    <mergeCell ref="A29:I29"/>
    <mergeCell ref="E32:G32"/>
    <mergeCell ref="A6"/>
    <mergeCell ref="E41:G41"/>
    <mergeCell ref="A17:A18"/>
    <mergeCell ref="F7:I7"/>
    <mergeCell ref="A13:A14"/>
    <mergeCell ref="H32:I32"/>
    <mergeCell ref="H45:I45"/>
    <mergeCell ref="E46:I46"/>
    <mergeCell ref="A7"/>
    <mergeCell ref="D6"/>
    <mergeCell ref="C27:G27"/>
    <mergeCell ref="C23:G23"/>
    <mergeCell ref="E43:G43"/>
    <mergeCell ref="A19:A20"/>
    <mergeCell ref="H27:I27"/>
    <mergeCell ref="E42:G42"/>
    <mergeCell ref="E33:G33"/>
    <mergeCell ref="B10:B12"/>
    <mergeCell ref="H24:I24"/>
    <mergeCell ref="H42:I42"/>
    <mergeCell ref="D7"/>
    <mergeCell ref="H33:I33"/>
    <mergeCell ref="A1:I1"/>
    <mergeCell ref="A15:A16"/>
    <mergeCell ref="E6"/>
    <mergeCell ref="E35:G35"/>
    <mergeCell ref="H23:I23"/>
    <mergeCell ref="E37:I37"/>
    <mergeCell ref="E44:G44"/>
    <mergeCell ref="H30:I30"/>
    <mergeCell ref="H26:I26"/>
  </mergeCells>
  <pageMargins left="0.75" right="0.75" top="1" bottom="1" header="0.5" footer="0.5"/>
</worksheet>
</file>

<file path=xl/worksheets/sheet19.xml><?xml version="1.0" encoding="utf-8"?>
<worksheet xmlns="http://schemas.openxmlformats.org/spreadsheetml/2006/main">
  <sheetPr>
    <tabColor rgb="00702459"/>
    <outlinePr summaryBelow="1" summaryRight="1"/>
    <pageSetUpPr/>
  </sheetPr>
  <dimension ref="A1:I46"/>
  <sheetViews>
    <sheetView showGridLines="0" workbookViewId="0">
      <pane ySplit="9" topLeftCell="A10" activePane="bottomLeft" state="frozen"/>
      <selection pane="bottomLeft" activeCell="A1" sqref="A1"/>
    </sheetView>
  </sheetViews>
  <sheetFormatPr baseColWidth="8" defaultRowHeight="15"/>
  <cols>
    <col width="20" customWidth="1" min="1" max="1"/>
    <col width="10" customWidth="1" min="2" max="2"/>
    <col width="28" customWidth="1" min="3" max="3"/>
    <col width="26" customWidth="1" min="4" max="4"/>
    <col width="38" customWidth="1" min="5" max="5"/>
    <col width="28" customWidth="1" min="6" max="6"/>
    <col width="28" customWidth="1" min="7" max="7"/>
    <col width="28" customWidth="1" min="8" max="8"/>
    <col width="14" customWidth="1" min="9" max="9"/>
  </cols>
  <sheetData>
    <row r="1" ht="40" customHeight="1">
      <c r="A1" s="94" t="inlineStr">
        <is>
          <t xml:space="preserve">  Excess &amp; Umbrella Casualty Risk Signal Model  |  Risk Signal Model</t>
        </is>
      </c>
    </row>
    <row r="2" ht="16" customHeight="1">
      <c r="A2" s="155" t="inlineStr">
        <is>
          <t xml:space="preserve">  Risk signal built on social inflation analytics, Praedicat PML, and underlying program quality assessment</t>
        </is>
      </c>
    </row>
    <row r="3" ht="14" customHeight="1">
      <c r="A3" s="134" t="inlineStr">
        <is>
          <t xml:space="preserve">  Typical clients: Mid-to-large commercial, high-hazard industries, public companies, construction programs, multinational corps</t>
        </is>
      </c>
    </row>
    <row r="4" ht="4" customHeight="1">
      <c r="A4" s="33" t="n"/>
    </row>
    <row r="5" ht="14" customHeight="1">
      <c r="A5" s="115" t="inlineStr">
        <is>
          <t xml:space="preserve">  AUTO-ENRICHMENT → SCORING → SIGNAL FLOW</t>
        </is>
      </c>
    </row>
    <row r="6" ht="24" customHeight="1">
      <c r="A6" s="116" t="inlineStr">
        <is>
          <t xml:space="preserve">  1. Submission Received  ▶</t>
        </is>
      </c>
      <c r="B6" s="117" t="inlineStr">
        <is>
          <t xml:space="preserve">  2. Praedicat PML  ▶</t>
        </is>
      </c>
      <c r="C6" s="116" t="inlineStr">
        <is>
          <t xml:space="preserve">  3. Auto-Enrich  ▶</t>
        </is>
      </c>
      <c r="D6" s="117" t="inlineStr">
        <is>
          <t xml:space="preserve">  4. Score 5 Dimensions  ▶</t>
        </is>
      </c>
      <c r="E6" s="116" t="inlineStr">
        <is>
          <t xml:space="preserve">  5. Red Line Check  ▶</t>
        </is>
      </c>
      <c r="F6" s="117" t="inlineStr">
        <is>
          <t xml:space="preserve">  6. Signal + Layer</t>
        </is>
      </c>
    </row>
    <row r="7" ht="24" customHeight="1">
      <c r="A7" s="118" t="inlineStr">
        <is>
          <t xml:space="preserve">  Underlying program specs + limits requested + 10yr loss runs</t>
        </is>
      </c>
      <c r="B7" s="118" t="inlineStr">
        <is>
          <t xml:space="preserve">  Stochastic PML distribution vs. attachment point — immediate excess-specific risk metric</t>
        </is>
      </c>
      <c r="C7" s="118" t="inlineStr">
        <is>
          <t xml:space="preserve">  Orbis + EDF-X insured + Moody's rating for primary carrier + Economy.com NV/TPLF data</t>
        </is>
      </c>
      <c r="D7" s="118" t="inlineStr">
        <is>
          <t xml:space="preserve">  Cat exposure + social inflation + underlying quality + loss history + financial</t>
        </is>
      </c>
      <c r="E7" s="118" t="inlineStr">
        <is>
          <t xml:space="preserve">  Active mass tort / SAM claim / primary carrier distressed → BLACK</t>
        </is>
      </c>
      <c r="F7" s="118" t="inlineStr">
        <is>
          <t xml:space="preserve">  RAG signal + rate-on-line indication + specific concerns → senior UW</t>
        </is>
      </c>
    </row>
    <row r="8" ht="5" customHeight="1"/>
    <row r="9" ht="28" customHeight="1">
      <c r="A9" s="156" t="inlineStr">
        <is>
          <t>Risk Dimension</t>
        </is>
      </c>
      <c r="B9" s="156" t="inlineStr">
        <is>
          <t>Weight</t>
        </is>
      </c>
      <c r="C9" s="156" t="inlineStr">
        <is>
          <t>Signal / Feature</t>
        </is>
      </c>
      <c r="D9" s="156" t="inlineStr">
        <is>
          <t>Moody's Data Source</t>
        </is>
      </c>
      <c r="E9" s="156" t="inlineStr">
        <is>
          <t>Scoring Logic (0–10 scale)</t>
        </is>
      </c>
      <c r="F9" s="156" t="inlineStr">
        <is>
          <t>🟢 Low Risk (0–3)</t>
        </is>
      </c>
      <c r="G9" s="156" t="inlineStr">
        <is>
          <t>🟡 Moderate (4–6)</t>
        </is>
      </c>
      <c r="H9" s="156" t="inlineStr">
        <is>
          <t>🔴 High Risk (7–10)</t>
        </is>
      </c>
      <c r="I9" s="157" t="inlineStr">
        <is>
          <t>Auto Red Line?</t>
        </is>
      </c>
    </row>
    <row r="10" ht="40" customHeight="1">
      <c r="A10" s="158" t="inlineStr">
        <is>
          <t>Catastrophic Liability Exposure</t>
        </is>
      </c>
      <c r="B10" s="159" t="inlineStr">
        <is>
          <t>30%</t>
        </is>
      </c>
      <c r="C10" s="40" t="inlineStr">
        <is>
          <t>Praedicat Stochastic PML (Probable Maximum Loss)</t>
        </is>
      </c>
      <c r="D10" s="124" t="inlineStr">
        <is>
          <t>Praedicat casualty stochastic model — LOB-specific PML distribution</t>
        </is>
      </c>
      <c r="E10" s="160" t="inlineStr">
        <is>
          <t>PML &lt;2x attachment→1 | 2–4x→4 | 4–8x→7 | &gt;8x attachment→9</t>
        </is>
      </c>
      <c r="F10" s="161" t="inlineStr">
        <is>
          <t>Praedicat PML &lt;2x excess attachment. Cat loss unlikely to penetrate program.</t>
        </is>
      </c>
      <c r="G10" s="162" t="inlineStr">
        <is>
          <t>Praedicat PML 2–4x attachment. Penetration possible under stress scenario.</t>
        </is>
      </c>
      <c r="H10" s="163" t="inlineStr">
        <is>
          <t>Praedicat PML &gt;8x attachment. High probability of total layer exhaustion.</t>
        </is>
      </c>
      <c r="I10" s="164" t="n"/>
    </row>
    <row r="11" ht="40" customHeight="1">
      <c r="A11" s="165" t="n"/>
      <c r="B11" s="165" t="n"/>
      <c r="C11" s="40" t="inlineStr">
        <is>
          <t>Mass Tort / PFAS / Emerging Liability Exposure</t>
        </is>
      </c>
      <c r="D11" s="124" t="inlineStr">
        <is>
          <t>Praedicat Litagion® agent database — portfolio accumulation analysis</t>
        </is>
      </c>
      <c r="E11" s="160" t="inlineStr">
        <is>
          <t>No agents→0 | Indirect/peripheral exposure→3 | Direct product exposure→7 | Confirmed active litigation→10</t>
        </is>
      </c>
      <c r="F11" s="161" t="inlineStr">
        <is>
          <t>No Litagion agents identified. No mass tort exposure in supply chain.</t>
        </is>
      </c>
      <c r="G11" s="162" t="inlineStr">
        <is>
          <t>Peripheral exposure (purchased chemicals from PFAS-using supplier). Needs endorsement.</t>
        </is>
      </c>
      <c r="H11" s="163" t="inlineStr">
        <is>
          <t>Direct product contains known Litagion agent. Mass tort accumulation in portfolio.</t>
        </is>
      </c>
      <c r="I11" s="167" t="inlineStr">
        <is>
          <t>⛔ Active mass tort defendant = automatic BLACK</t>
        </is>
      </c>
    </row>
    <row r="12" ht="40" customHeight="1">
      <c r="A12" s="166" t="n"/>
      <c r="B12" s="166" t="n"/>
      <c r="C12" s="40" t="inlineStr">
        <is>
          <t>SAM (Sexual Abuse &amp; Molestation) Exposure</t>
        </is>
      </c>
      <c r="D12" s="124" t="inlineStr">
        <is>
          <t>RDC/GRID (org-level adverse screening) + application organization type</t>
        </is>
      </c>
      <c r="E12" s="160" t="inlineStr">
        <is>
          <t>No SAM exposure→0 | Limited/indirect (hotels, gyms)→4 | Youth-serving org→7 | Prior SAM claim→9</t>
        </is>
      </c>
      <c r="F12" s="161" t="inlineStr">
        <is>
          <t>No youth-serving activities. No SAM-exposed operations.</t>
        </is>
      </c>
      <c r="G12" s="162" t="inlineStr">
        <is>
          <t>Incidental SAM exposure (hotel, fitness center). Background screening program verified.</t>
        </is>
      </c>
      <c r="H12" s="163" t="inlineStr">
        <is>
          <t>Youth-serving org, school, religious institution, or healthcare with vulnerable populations.</t>
        </is>
      </c>
      <c r="I12" s="167" t="inlineStr">
        <is>
          <t>⛔ Prior SAM claim = specialty market only with SAM exclusion</t>
        </is>
      </c>
    </row>
    <row r="13" ht="40" customHeight="1">
      <c r="A13" s="168" t="inlineStr">
        <is>
          <t>Social Inflation Sensitivity</t>
        </is>
      </c>
      <c r="B13" s="169" t="inlineStr">
        <is>
          <t>25%</t>
        </is>
      </c>
      <c r="C13" s="40" t="inlineStr">
        <is>
          <t>Jurisdiction × Industry Nuclear Verdict Risk</t>
        </is>
      </c>
      <c r="D13" s="124" t="inlineStr">
        <is>
          <t>Praedicat NV analytics + Economy.com state litigation data — 135+ NV &gt;$10M in 2024</t>
        </is>
      </c>
      <c r="E13" s="160" t="inlineStr">
        <is>
          <t>Low NV industry in low-NV state→1 | Mixed→4 | High NV industry in hellhole state→8 | Trucking/nursing/hotel in FL/GA/CA→10</t>
        </is>
      </c>
      <c r="F13" s="161" t="inlineStr">
        <is>
          <t>Low nuclear verdict industry. Operations in favorable litigation states.</t>
        </is>
      </c>
      <c r="G13" s="162" t="inlineStr">
        <is>
          <t>Moderate NV industry. Some hellhole state exposure. TPLF limited in jurisdiction.</t>
        </is>
      </c>
      <c r="H13" s="163" t="inlineStr">
        <is>
          <t>High NV industry (trucking, healthcare, hospitality) in top NV jurisdictions (FL, GA, CA, NY, IL).</t>
        </is>
      </c>
      <c r="I13" s="164" t="n"/>
    </row>
    <row r="14" ht="40" customHeight="1">
      <c r="A14" s="165" t="n"/>
      <c r="B14" s="165" t="n"/>
      <c r="C14" s="40" t="inlineStr">
        <is>
          <t>ALAE / Defense Cost Trend</t>
        </is>
      </c>
      <c r="D14" s="124" t="inlineStr">
        <is>
          <t>Application loss runs + Economy.com legal cost inflation (7% social inflation 2023)</t>
        </is>
      </c>
      <c r="E14" s="160" t="inlineStr">
        <is>
          <t>ALAE/Indemnity stable or declining→1 | Rising &lt;20%→4 | Rising 20–50%→7 | Rising &gt;50%→9</t>
        </is>
      </c>
      <c r="F14" s="161" t="inlineStr">
        <is>
          <t>Defense costs stable as % of indemnity. No TPLF in jurisdiction.</t>
        </is>
      </c>
      <c r="G14" s="162" t="inlineStr">
        <is>
          <t>ALAE rising 10–20%. Social inflation visible. Jury composition changing.</t>
        </is>
      </c>
      <c r="H14" s="163" t="inlineStr">
        <is>
          <t>ALAE rising &gt;50% of indemnity. TPLF active. Plaintiff bar aggressive. Verdict awards detached from damages.</t>
        </is>
      </c>
      <c r="I14" s="164" t="n"/>
    </row>
    <row r="15" ht="40" customHeight="1">
      <c r="A15" s="166" t="n"/>
      <c r="B15" s="166" t="n"/>
      <c r="C15" s="40" t="inlineStr">
        <is>
          <t>Third-Party Litigation Funding (TPLF) Presence</t>
        </is>
      </c>
      <c r="D15" s="124" t="inlineStr">
        <is>
          <t>Praedicat TPLF database + Economy.com jurisdiction analytics</t>
        </is>
      </c>
      <c r="E15" s="160" t="inlineStr">
        <is>
          <t>No TPLF in industry/jurisdiction→1 | Some TPLF activity→4 | High TPLF→7 | TPLF financing identified in active case→10</t>
        </is>
      </c>
      <c r="F15" s="161" t="inlineStr">
        <is>
          <t>No TPLF activity in insured's industry or operating jurisdictions.</t>
        </is>
      </c>
      <c r="G15" s="162" t="inlineStr">
        <is>
          <t>TPLF present in industry broadly but not identified in specific cases.</t>
        </is>
      </c>
      <c r="H15" s="163" t="inlineStr">
        <is>
          <t>TPLF actively financing cases against insured's industry sector in operating states.</t>
        </is>
      </c>
      <c r="I15" s="164" t="n"/>
    </row>
    <row r="16" ht="40" customHeight="1">
      <c r="A16" s="170" t="inlineStr">
        <is>
          <t>Underlying Program Quality</t>
        </is>
      </c>
      <c r="B16" s="171" t="inlineStr">
        <is>
          <t>20%</t>
        </is>
      </c>
      <c r="C16" s="40" t="inlineStr">
        <is>
          <t>Primary Carrier Financial Strength</t>
        </is>
      </c>
      <c r="D16" s="124" t="inlineStr">
        <is>
          <t>Moody's Ratings — insurance carrier financial strength ratings</t>
        </is>
      </c>
      <c r="E16" s="160" t="inlineStr">
        <is>
          <t>Aaa–A2 carrier→1 | A3–Baa1→3 | Baa2–Baa3→5 | Ba/unrated→7 | Caa/distressed→9</t>
        </is>
      </c>
      <c r="F16" s="161" t="inlineStr">
        <is>
          <t>Primary carrier: A+ equivalent. Top-tier financial strength. No rating pressure.</t>
        </is>
      </c>
      <c r="G16" s="162" t="inlineStr">
        <is>
          <t>Primary carrier: A- equivalent. Adequate but monitor for rating migration.</t>
        </is>
      </c>
      <c r="H16" s="163" t="inlineStr">
        <is>
          <t>Primary carrier: BBB/Baa3 equivalent or unrated. Drop-down risk present.</t>
        </is>
      </c>
      <c r="I16" s="164" t="n"/>
    </row>
    <row r="17" ht="40" customHeight="1">
      <c r="A17" s="166" t="n"/>
      <c r="B17" s="166" t="n"/>
      <c r="C17" s="40" t="inlineStr">
        <is>
          <t>Primary Limits Adequacy vs. Industry Benchmark</t>
        </is>
      </c>
      <c r="D17" s="124" t="inlineStr">
        <is>
          <t>Praedicat limits benchmarking + Economy.com industry revenue data</t>
        </is>
      </c>
      <c r="E17" s="160" t="inlineStr">
        <is>
          <t>Limits adequate vs Praedicat benchmark→1 | 10–25% below benchmark→4 | &gt;25% below→7 | Severely inadequate→9</t>
        </is>
      </c>
      <c r="F17" s="161" t="inlineStr">
        <is>
          <t>Primary limits at or above Praedicat benchmark for industry and revenue size.</t>
        </is>
      </c>
      <c r="G17" s="162" t="inlineStr">
        <is>
          <t>Primary limits 10–25% below benchmark. Erosion possible in moderate loss year.</t>
        </is>
      </c>
      <c r="H17" s="163" t="inlineStr">
        <is>
          <t>Primary limits severely inadequate. Excess attaches frequently. Adverse selection signal.</t>
        </is>
      </c>
      <c r="I17" s="164" t="n"/>
    </row>
    <row r="18" ht="40" customHeight="1">
      <c r="A18" s="172" t="inlineStr">
        <is>
          <t>Loss History Quality</t>
        </is>
      </c>
      <c r="B18" s="173" t="inlineStr">
        <is>
          <t>15%</t>
        </is>
      </c>
      <c r="C18" s="40" t="inlineStr">
        <is>
          <t>10-Year Loss Development</t>
        </is>
      </c>
      <c r="D18" s="124" t="inlineStr">
        <is>
          <t>Comprehensive loss runs + Praedicat development benchmarks</t>
        </is>
      </c>
      <c r="E18" s="160" t="inlineStr">
        <is>
          <t>Favorable development→1 | At benchmark→3 | Adverse &lt;20%→6 | Adverse &gt;20%→8 | Catastrophic open reserves→10</t>
        </is>
      </c>
      <c r="F18" s="161" t="inlineStr">
        <is>
          <t>Favorable development on all prior years. Reserves redundant. ALAE well controlled.</t>
        </is>
      </c>
      <c r="G18" s="162" t="inlineStr">
        <is>
          <t>Development at benchmark. One year with moderate adverse. Explained by specific event.</t>
        </is>
      </c>
      <c r="H18" s="163" t="inlineStr">
        <is>
          <t>Systemic adverse development across multiple years. Reserve inadequacy pattern.</t>
        </is>
      </c>
      <c r="I18" s="164" t="n"/>
    </row>
    <row r="19" ht="40" customHeight="1">
      <c r="A19" s="166" t="n"/>
      <c r="B19" s="166" t="n"/>
      <c r="C19" s="40" t="inlineStr">
        <is>
          <t>Large Loss Frequency (&gt;$250K per occurrence)</t>
        </is>
      </c>
      <c r="D19" s="124" t="inlineStr">
        <is>
          <t>Loss runs with per-occurrence detail</t>
        </is>
      </c>
      <c r="E19" s="160" t="inlineStr">
        <is>
          <t>Zero large losses→0 | 1 loss $250–750K→3 | 1 loss &gt;$750K→6 | 2+ large losses→8</t>
        </is>
      </c>
      <c r="F19" s="161" t="inlineStr">
        <is>
          <t>Zero losses exceeding $250K in 10 years. Severity well-managed.</t>
        </is>
      </c>
      <c r="G19" s="162" t="inlineStr">
        <is>
          <t>One large loss, isolated cause, corrective action documented and implemented.</t>
        </is>
      </c>
      <c r="H19" s="163" t="inlineStr">
        <is>
          <t>Multiple large losses or single loss &gt;$2M. Pattern indicates systemic exposure.</t>
        </is>
      </c>
      <c r="I19" s="164" t="n"/>
    </row>
    <row r="20" ht="40" customHeight="1">
      <c r="A20" s="174" t="inlineStr">
        <is>
          <t>Financial &amp; Operational Risk</t>
        </is>
      </c>
      <c r="B20" s="175" t="inlineStr">
        <is>
          <t>10%</t>
        </is>
      </c>
      <c r="C20" s="40" t="inlineStr">
        <is>
          <t>Insured EDF-X Financial Stability</t>
        </is>
      </c>
      <c r="D20" s="124" t="inlineStr">
        <is>
          <t>EDF-X public/private company PD model</t>
        </is>
      </c>
      <c r="E20" s="160" t="inlineStr">
        <is>
          <t>PD &lt;1%→1 | 1–3%→4 | 3–6%→7 | &gt;6%→9</t>
        </is>
      </c>
      <c r="F20" s="161" t="inlineStr">
        <is>
          <t>Financially stable insured. Risk management investment likely maintained.</t>
        </is>
      </c>
      <c r="G20" s="162" t="inlineStr">
        <is>
          <t>Moderate financial pressure. Safety/maintenance spend may be at risk.</t>
        </is>
      </c>
      <c r="H20" s="163" t="inlineStr">
        <is>
          <t>Financially distressed. High probability of deferred maintenance, safety shortcuts.</t>
        </is>
      </c>
      <c r="I20" s="164" t="n"/>
    </row>
    <row r="21" ht="5" customHeight="1"/>
    <row r="22" ht="16" customHeight="1">
      <c r="A22" s="136" t="inlineStr">
        <is>
          <t xml:space="preserve">  RED LINE RULES — AUTOMATIC SIGNAL OVERRIDE (Triggers ⛔ BLACK regardless of score)</t>
        </is>
      </c>
    </row>
    <row r="23" ht="20" customHeight="1">
      <c r="A23" s="180" t="inlineStr">
        <is>
          <t>#</t>
        </is>
      </c>
      <c r="B23" s="180" t="inlineStr">
        <is>
          <t>Red Line Condition</t>
        </is>
      </c>
      <c r="C23" s="180" t="inlineStr">
        <is>
          <t>Moody's Data Source That Identifies It</t>
        </is>
      </c>
      <c r="D23" s="56" t="n"/>
      <c r="E23" s="56" t="n"/>
      <c r="F23" s="56" t="n"/>
      <c r="G23" s="57" t="n"/>
      <c r="H23" s="180" t="inlineStr">
        <is>
          <t>Action</t>
        </is>
      </c>
      <c r="I23" s="57" t="n"/>
    </row>
    <row r="24" ht="28" customHeight="1">
      <c r="A24" s="181" t="inlineStr">
        <is>
          <t>1</t>
        </is>
      </c>
      <c r="B24" s="182" t="inlineStr">
        <is>
          <t>Active mass tort defendant (PFAS, talc, opioids, asbestos, etc.)</t>
        </is>
      </c>
      <c r="C24" s="183" t="inlineStr">
        <is>
          <t>Praedicat Litagion agent database + RDC/GRID adverse news + litigation monitoring</t>
        </is>
      </c>
      <c r="D24" s="56" t="n"/>
      <c r="E24" s="56" t="n"/>
      <c r="F24" s="56" t="n"/>
      <c r="G24" s="57" t="n"/>
      <c r="H24" s="167" t="inlineStr">
        <is>
          <t>⛔ BLACK — Standard market decline. Specialty E&amp;S with specific mass tort exclusion only.</t>
        </is>
      </c>
      <c r="I24" s="57" t="n"/>
    </row>
    <row r="25" ht="28" customHeight="1">
      <c r="A25" s="181" t="inlineStr">
        <is>
          <t>2</t>
        </is>
      </c>
      <c r="B25" s="182" t="inlineStr">
        <is>
          <t>Prior SAM claim in last 10 years</t>
        </is>
      </c>
      <c r="C25" s="183" t="inlineStr">
        <is>
          <t>Application + RDC/GRID adverse news + prior loss runs</t>
        </is>
      </c>
      <c r="D25" s="56" t="n"/>
      <c r="E25" s="56" t="n"/>
      <c r="F25" s="56" t="n"/>
      <c r="G25" s="57" t="n"/>
      <c r="H25" s="167" t="inlineStr">
        <is>
          <t>⛔ BLACK for standard market. Specialty SAM coverage required separately with exclusion.</t>
        </is>
      </c>
      <c r="I25" s="57" t="n"/>
    </row>
    <row r="26" ht="28" customHeight="1">
      <c r="A26" s="181" t="inlineStr">
        <is>
          <t>3</t>
        </is>
      </c>
      <c r="B26" s="182" t="inlineStr">
        <is>
          <t>Primary carrier Moody's rating below Baa3 (investment grade equivalent)</t>
        </is>
      </c>
      <c r="C26" s="183" t="inlineStr">
        <is>
          <t>Moody's Ratings — insurance carrier financial strength</t>
        </is>
      </c>
      <c r="D26" s="56" t="n"/>
      <c r="E26" s="56" t="n"/>
      <c r="F26" s="56" t="n"/>
      <c r="G26" s="57" t="n"/>
      <c r="H26" s="167" t="inlineStr">
        <is>
          <t>⛔ RED — Drop-down risk. Require replacement of primary carrier before binding excess.</t>
        </is>
      </c>
      <c r="I26" s="57" t="n"/>
    </row>
    <row r="27" ht="28" customHeight="1">
      <c r="A27" s="181" t="inlineStr">
        <is>
          <t>4</t>
        </is>
      </c>
      <c r="B27" s="182" t="inlineStr">
        <is>
          <t>Praedicat PML exceeds 10x excess attachment point</t>
        </is>
      </c>
      <c r="C27" s="183" t="inlineStr">
        <is>
          <t>Praedicat stochastic casualty model</t>
        </is>
      </c>
      <c r="D27" s="56" t="n"/>
      <c r="E27" s="56" t="n"/>
      <c r="F27" s="56" t="n"/>
      <c r="G27" s="57" t="n"/>
      <c r="H27" s="167" t="inlineStr">
        <is>
          <t>⛔ RED/BLACK — Layer is mispriced relative to exposure. Refer to specialty actuarial team.</t>
        </is>
      </c>
      <c r="I27" s="57" t="n"/>
    </row>
    <row r="28" ht="5" customHeight="1"/>
    <row r="29" ht="16" customHeight="1">
      <c r="A29" s="134" t="inlineStr">
        <is>
          <t xml:space="preserve">  HYPOTHETICAL SCORED SCENARIOS — Model In Action</t>
        </is>
      </c>
    </row>
    <row r="30" ht="20" customHeight="1">
      <c r="A30" s="184" t="inlineStr">
        <is>
          <t xml:space="preserve">  SCENARIO 1 — MegaHospitality Group  |  100-hotel chain. $850M revenue. FL, GA, TX, NY. Umbrella $25M xs $1M primary. Seeking $75M total.</t>
        </is>
      </c>
      <c r="H30" s="196" t="inlineStr">
        <is>
          <t>SIGNAL: 🔴 RED</t>
        </is>
      </c>
    </row>
    <row r="31" ht="16" customHeight="1">
      <c r="A31" s="186" t="inlineStr">
        <is>
          <t>Dimension</t>
        </is>
      </c>
      <c r="B31" s="186" t="inlineStr">
        <is>
          <t>Wt %</t>
        </is>
      </c>
      <c r="C31" s="186" t="inlineStr">
        <is>
          <t>Score (0–10)</t>
        </is>
      </c>
      <c r="D31" s="186" t="inlineStr">
        <is>
          <t>Wtd Contribution</t>
        </is>
      </c>
      <c r="E31" s="186" t="inlineStr">
        <is>
          <t>Key Signals Driving Score</t>
        </is>
      </c>
      <c r="F31" s="186" t="n"/>
      <c r="G31" s="186" t="n"/>
      <c r="H31" s="186" t="inlineStr">
        <is>
          <t>Red Line?</t>
        </is>
      </c>
      <c r="I31" s="186" t="n"/>
    </row>
    <row r="32" ht="30" customHeight="1">
      <c r="A32" s="187" t="inlineStr">
        <is>
          <t>Catastrophic Exposure</t>
        </is>
      </c>
      <c r="B32" s="188" t="inlineStr">
        <is>
          <t>30%</t>
        </is>
      </c>
      <c r="C32" s="189" t="inlineStr">
        <is>
          <t>6/10</t>
        </is>
      </c>
      <c r="D32" s="189" t="inlineStr">
        <is>
          <t>18.0</t>
        </is>
      </c>
      <c r="E32" s="40" t="inlineStr">
        <is>
          <t>Praedicat PML: 4.2x attachment ($4.2M PML vs $1M attachment). SAM: indirect hotel exposure. No mass tort.</t>
        </is>
      </c>
      <c r="F32" s="56" t="n"/>
      <c r="G32" s="57" t="n"/>
      <c r="H32" s="190" t="n"/>
      <c r="I32" s="57" t="n"/>
    </row>
    <row r="33" ht="30" customHeight="1">
      <c r="A33" s="187" t="inlineStr">
        <is>
          <t>Social Inflation</t>
        </is>
      </c>
      <c r="B33" s="188" t="inlineStr">
        <is>
          <t>25%</t>
        </is>
      </c>
      <c r="C33" s="197" t="inlineStr">
        <is>
          <t>8/10</t>
        </is>
      </c>
      <c r="D33" s="197" t="inlineStr">
        <is>
          <t>20.0</t>
        </is>
      </c>
      <c r="E33" s="40" t="inlineStr">
        <is>
          <t>FL+GA = top-2 NV jurisdictions for hospitality. ALAE rising 38% over 3yr. TPLF: confirmed active in FL.</t>
        </is>
      </c>
      <c r="F33" s="56" t="n"/>
      <c r="G33" s="57" t="n"/>
      <c r="H33" s="190" t="n"/>
      <c r="I33" s="57" t="n"/>
    </row>
    <row r="34" ht="30" customHeight="1">
      <c r="A34" s="187" t="inlineStr">
        <is>
          <t>Underlying Program</t>
        </is>
      </c>
      <c r="B34" s="188" t="inlineStr">
        <is>
          <t>20%</t>
        </is>
      </c>
      <c r="C34" s="191" t="inlineStr">
        <is>
          <t>3/10</t>
        </is>
      </c>
      <c r="D34" s="191" t="inlineStr">
        <is>
          <t>6.0</t>
        </is>
      </c>
      <c r="E34" s="40" t="inlineStr">
        <is>
          <t>Primary: Travelers (Aa3 Moody's). Limits: $1M primary adequate per Praedicat. Coverage form: ISO standard.</t>
        </is>
      </c>
      <c r="F34" s="56" t="n"/>
      <c r="G34" s="57" t="n"/>
      <c r="H34" s="190" t="n"/>
      <c r="I34" s="57" t="n"/>
    </row>
    <row r="35" ht="30" customHeight="1">
      <c r="A35" s="187" t="inlineStr">
        <is>
          <t>Loss History</t>
        </is>
      </c>
      <c r="B35" s="188" t="inlineStr">
        <is>
          <t>15%</t>
        </is>
      </c>
      <c r="C35" s="189" t="inlineStr">
        <is>
          <t>5/10</t>
        </is>
      </c>
      <c r="D35" s="189" t="inlineStr">
        <is>
          <t>7.5</t>
        </is>
      </c>
      <c r="E35" s="40" t="inlineStr">
        <is>
          <t>3 losses &gt;$250K in 10yr (slip/fall, food poisoning x1, pool incident). Development at benchmark.</t>
        </is>
      </c>
      <c r="F35" s="56" t="n"/>
      <c r="G35" s="57" t="n"/>
      <c r="H35" s="190" t="n"/>
      <c r="I35" s="57" t="n"/>
    </row>
    <row r="36" ht="30" customHeight="1">
      <c r="A36" s="187" t="inlineStr">
        <is>
          <t>Financial &amp; Operational</t>
        </is>
      </c>
      <c r="B36" s="188" t="inlineStr">
        <is>
          <t>10%</t>
        </is>
      </c>
      <c r="C36" s="191" t="inlineStr">
        <is>
          <t>2/10</t>
        </is>
      </c>
      <c r="D36" s="191" t="inlineStr">
        <is>
          <t>2.0</t>
        </is>
      </c>
      <c r="E36" s="40" t="inlineStr">
        <is>
          <t>EDF-X PD: 0.9% (Baa1 implied). Strong balance sheet. Risk management: professional program.</t>
        </is>
      </c>
      <c r="F36" s="56" t="n"/>
      <c r="G36" s="57" t="n"/>
      <c r="H36" s="190" t="n"/>
      <c r="I36" s="57" t="n"/>
    </row>
    <row r="37" ht="24" customHeight="1">
      <c r="A37" s="198" t="inlineStr">
        <is>
          <t>COMPOSITE SCORE</t>
        </is>
      </c>
      <c r="B37" s="57" t="n"/>
      <c r="C37" s="199" t="inlineStr">
        <is>
          <t>67/100</t>
        </is>
      </c>
      <c r="D37" s="200" t="inlineStr">
        <is>
          <t>→ 🔴 RED</t>
        </is>
      </c>
      <c r="E37" s="201" t="inlineStr">
        <is>
          <t>ACTION: Refer to senior UW. FL/GA nuclear verdict risk elevated for hospitality. SAM screening required. TPLF active in FL.</t>
        </is>
      </c>
      <c r="F37" s="56" t="n"/>
      <c r="G37" s="56" t="n"/>
      <c r="H37" s="56" t="n"/>
      <c r="I37" s="57" t="n"/>
    </row>
    <row r="38" ht="5" customHeight="1"/>
    <row r="39" ht="20" customHeight="1">
      <c r="A39" s="184" t="inlineStr">
        <is>
          <t xml:space="preserve">  SCENARIO 2 — RegionalTrucking Corp  |  200-truck LTL carrier. $120M revenue. IL, FL, GA, TX. 5yr claim: $3.2M large loss (fatality).</t>
        </is>
      </c>
      <c r="H39" s="202" t="inlineStr">
        <is>
          <t>SIGNAL: ⛔ BLACK</t>
        </is>
      </c>
    </row>
    <row r="40" ht="16" customHeight="1">
      <c r="A40" s="186" t="inlineStr">
        <is>
          <t>Dimension</t>
        </is>
      </c>
      <c r="B40" s="186" t="inlineStr">
        <is>
          <t>Wt %</t>
        </is>
      </c>
      <c r="C40" s="186" t="inlineStr">
        <is>
          <t>Score (0–10)</t>
        </is>
      </c>
      <c r="D40" s="186" t="inlineStr">
        <is>
          <t>Wtd Contribution</t>
        </is>
      </c>
      <c r="E40" s="186" t="inlineStr">
        <is>
          <t>Key Signals Driving Score</t>
        </is>
      </c>
      <c r="F40" s="186" t="n"/>
      <c r="G40" s="186" t="n"/>
      <c r="H40" s="186" t="inlineStr">
        <is>
          <t>Red Line?</t>
        </is>
      </c>
      <c r="I40" s="186" t="n"/>
    </row>
    <row r="41" ht="30" customHeight="1">
      <c r="A41" s="187" t="inlineStr">
        <is>
          <t>Catastrophic Exposure</t>
        </is>
      </c>
      <c r="B41" s="188" t="inlineStr">
        <is>
          <t>30%</t>
        </is>
      </c>
      <c r="C41" s="197" t="inlineStr">
        <is>
          <t>8/10</t>
        </is>
      </c>
      <c r="D41" s="197" t="inlineStr">
        <is>
          <t>24.0</t>
        </is>
      </c>
      <c r="E41" s="40" t="inlineStr">
        <is>
          <t>Praedicat PML: 7.8x attachment. Trucking: top-5 nuclear verdict industry. No mass tort but severe cat potential.</t>
        </is>
      </c>
      <c r="F41" s="56" t="n"/>
      <c r="G41" s="57" t="n"/>
      <c r="H41" s="190" t="n"/>
      <c r="I41" s="57" t="n"/>
    </row>
    <row r="42" ht="30" customHeight="1">
      <c r="A42" s="187" t="inlineStr">
        <is>
          <t>Social Inflation</t>
        </is>
      </c>
      <c r="B42" s="188" t="inlineStr">
        <is>
          <t>25%</t>
        </is>
      </c>
      <c r="C42" s="197" t="inlineStr">
        <is>
          <t>10/10</t>
        </is>
      </c>
      <c r="D42" s="197" t="inlineStr">
        <is>
          <t>25.0</t>
        </is>
      </c>
      <c r="E42" s="40" t="inlineStr">
        <is>
          <t>IL+FL+GA = #1, #2, #3 NV states for trucking. Social inflation: 7% above economic (2023). TPLF heavily active.</t>
        </is>
      </c>
      <c r="F42" s="56" t="n"/>
      <c r="G42" s="57" t="n"/>
      <c r="H42" s="190" t="n"/>
      <c r="I42" s="57" t="n"/>
    </row>
    <row r="43" ht="30" customHeight="1">
      <c r="A43" s="187" t="inlineStr">
        <is>
          <t>Underlying Program</t>
        </is>
      </c>
      <c r="B43" s="188" t="inlineStr">
        <is>
          <t>20%</t>
        </is>
      </c>
      <c r="C43" s="189" t="inlineStr">
        <is>
          <t>4/10</t>
        </is>
      </c>
      <c r="D43" s="189" t="inlineStr">
        <is>
          <t>8.0</t>
        </is>
      </c>
      <c r="E43" s="40" t="inlineStr">
        <is>
          <t>Primary: regional carrier (Baa2, stable). Limits: $1M auto — below Praedicat benchmark ($3M recommended for fleet size).</t>
        </is>
      </c>
      <c r="F43" s="56" t="n"/>
      <c r="G43" s="57" t="n"/>
      <c r="H43" s="190" t="n"/>
      <c r="I43" s="57" t="n"/>
    </row>
    <row r="44" ht="30" customHeight="1">
      <c r="A44" s="187" t="inlineStr">
        <is>
          <t>Loss History</t>
        </is>
      </c>
      <c r="B44" s="188" t="inlineStr">
        <is>
          <t>15%</t>
        </is>
      </c>
      <c r="C44" s="197" t="inlineStr">
        <is>
          <t>9/10</t>
        </is>
      </c>
      <c r="D44" s="197" t="inlineStr">
        <is>
          <t>13.5</t>
        </is>
      </c>
      <c r="E44" s="40" t="inlineStr">
        <is>
          <t>$3.2M fatality claim 3yr ago (open, reserve $2.8M). Adverse ALAE development 45% above benchmark.</t>
        </is>
      </c>
      <c r="F44" s="56" t="n"/>
      <c r="G44" s="57" t="n"/>
      <c r="H44" s="190" t="n"/>
      <c r="I44" s="57" t="n"/>
    </row>
    <row r="45" ht="30" customHeight="1">
      <c r="A45" s="187" t="inlineStr">
        <is>
          <t>Financial &amp; Operational</t>
        </is>
      </c>
      <c r="B45" s="188" t="inlineStr">
        <is>
          <t>10%</t>
        </is>
      </c>
      <c r="C45" s="189" t="inlineStr">
        <is>
          <t>5/10</t>
        </is>
      </c>
      <c r="D45" s="189" t="inlineStr">
        <is>
          <t>5.0</t>
        </is>
      </c>
      <c r="E45" s="40" t="inlineStr">
        <is>
          <t>EDF-X PD: 2.1%. DOT score (Cortera): medium-high risk. 12 HOS violations, 3 driver fitness issues.</t>
        </is>
      </c>
      <c r="F45" s="56" t="n"/>
      <c r="G45" s="57" t="n"/>
      <c r="H45" s="190" t="n"/>
      <c r="I45" s="57" t="n"/>
    </row>
    <row r="46" ht="24" customHeight="1">
      <c r="A46" s="203" t="inlineStr">
        <is>
          <t>COMPOSITE SCORE</t>
        </is>
      </c>
      <c r="B46" s="57" t="n"/>
      <c r="C46" s="204" t="inlineStr">
        <is>
          <t>84/100</t>
        </is>
      </c>
      <c r="D46" s="205" t="inlineStr">
        <is>
          <t>→ ⛔ BLACK</t>
        </is>
      </c>
      <c r="E46" s="206" t="inlineStr">
        <is>
          <t>ACTION: DECLINE. Trucking + judicial hellholes + TPLF + $3.2M fatality prior loss = unacceptable cumulative risk.</t>
        </is>
      </c>
      <c r="F46" s="56" t="n"/>
      <c r="G46" s="56" t="n"/>
      <c r="H46" s="56" t="n"/>
      <c r="I46" s="57" t="n"/>
    </row>
    <row r="47" ht="5" customHeight="1"/>
  </sheetData>
  <mergeCells count="69">
    <mergeCell ref="H35:I35"/>
    <mergeCell ref="B18:B19"/>
    <mergeCell ref="C24:G24"/>
    <mergeCell ref="C7"/>
    <mergeCell ref="H43:I43"/>
    <mergeCell ref="B6"/>
    <mergeCell ref="E7"/>
    <mergeCell ref="B24"/>
    <mergeCell ref="E34:G34"/>
    <mergeCell ref="H41:I41"/>
    <mergeCell ref="A3:I3"/>
    <mergeCell ref="A16:A17"/>
    <mergeCell ref="H44:I44"/>
    <mergeCell ref="A13:A15"/>
    <mergeCell ref="C26:G26"/>
    <mergeCell ref="H39:I39"/>
    <mergeCell ref="H25:I25"/>
    <mergeCell ref="H34:I34"/>
    <mergeCell ref="A2:I2"/>
    <mergeCell ref="B26"/>
    <mergeCell ref="E36:G36"/>
    <mergeCell ref="A5:I5"/>
    <mergeCell ref="E45:G45"/>
    <mergeCell ref="A10:A12"/>
    <mergeCell ref="A39:G39"/>
    <mergeCell ref="B7"/>
    <mergeCell ref="B25"/>
    <mergeCell ref="C25:G25"/>
    <mergeCell ref="A37:B37"/>
    <mergeCell ref="A30:G30"/>
    <mergeCell ref="C6"/>
    <mergeCell ref="A46:B46"/>
    <mergeCell ref="H36:I36"/>
    <mergeCell ref="A22:I22"/>
    <mergeCell ref="A4:I4"/>
    <mergeCell ref="A18:A19"/>
    <mergeCell ref="F6:I6"/>
    <mergeCell ref="B27"/>
    <mergeCell ref="A29:I29"/>
    <mergeCell ref="E32:G32"/>
    <mergeCell ref="A6"/>
    <mergeCell ref="E41:G41"/>
    <mergeCell ref="F7:I7"/>
    <mergeCell ref="H32:I32"/>
    <mergeCell ref="H45:I45"/>
    <mergeCell ref="E46:I46"/>
    <mergeCell ref="A7"/>
    <mergeCell ref="D6"/>
    <mergeCell ref="C27:G27"/>
    <mergeCell ref="C23:G23"/>
    <mergeCell ref="E43:G43"/>
    <mergeCell ref="H27:I27"/>
    <mergeCell ref="E42:G42"/>
    <mergeCell ref="E33:G33"/>
    <mergeCell ref="B10:B12"/>
    <mergeCell ref="H24:I24"/>
    <mergeCell ref="H42:I42"/>
    <mergeCell ref="D7"/>
    <mergeCell ref="B13:B15"/>
    <mergeCell ref="H33:I33"/>
    <mergeCell ref="A1:I1"/>
    <mergeCell ref="E6"/>
    <mergeCell ref="E35:G35"/>
    <mergeCell ref="H23:I23"/>
    <mergeCell ref="B16:B17"/>
    <mergeCell ref="E37:I37"/>
    <mergeCell ref="E44:G44"/>
    <mergeCell ref="H30:I30"/>
    <mergeCell ref="H26:I26"/>
  </mergeCells>
  <pageMargins left="0.75" right="0.75" top="1" bottom="1" header="0.5" footer="0.5"/>
</worksheet>
</file>

<file path=xl/worksheets/sheet20.xml><?xml version="1.0" encoding="utf-8"?>
<worksheet xmlns="http://schemas.openxmlformats.org/spreadsheetml/2006/main">
  <sheetPr>
    <tabColor rgb="002D3748"/>
    <outlinePr summaryBelow="1" summaryRight="1"/>
    <pageSetUpPr/>
  </sheetPr>
  <dimension ref="A1:I33"/>
  <sheetViews>
    <sheetView showGridLines="0" workbookViewId="0">
      <pane ySplit="9" topLeftCell="A10" activePane="bottomLeft" state="frozen"/>
      <selection pane="bottomLeft" activeCell="A1" sqref="A1"/>
    </sheetView>
  </sheetViews>
  <sheetFormatPr baseColWidth="8" defaultRowHeight="15"/>
  <cols>
    <col width="20" customWidth="1" min="1" max="1"/>
    <col width="10" customWidth="1" min="2" max="2"/>
    <col width="28" customWidth="1" min="3" max="3"/>
    <col width="26" customWidth="1" min="4" max="4"/>
    <col width="38" customWidth="1" min="5" max="5"/>
    <col width="28" customWidth="1" min="6" max="6"/>
    <col width="28" customWidth="1" min="7" max="7"/>
    <col width="28" customWidth="1" min="8" max="8"/>
    <col width="14" customWidth="1" min="9" max="9"/>
  </cols>
  <sheetData>
    <row r="1" ht="40" customHeight="1">
      <c r="A1" s="94" t="inlineStr">
        <is>
          <t xml:space="preserve">  Errors &amp; Omissions / Professional Liability Risk Signal Model  |  Risk Signal Model</t>
        </is>
      </c>
    </row>
    <row r="2" ht="16" customHeight="1">
      <c r="A2" s="155" t="inlineStr">
        <is>
          <t xml:space="preserve">  Risk signal for professional liability — regulatory conduct, cyber exposure, and financial stability of the firm</t>
        </is>
      </c>
    </row>
    <row r="3" ht="14" customHeight="1">
      <c r="A3" s="134" t="inlineStr">
        <is>
          <t xml:space="preserve">  Typical clients: Tech companies, law firms, accountants, architects, engineers, financial advisers, consultants</t>
        </is>
      </c>
    </row>
    <row r="4" ht="4" customHeight="1">
      <c r="A4" s="33" t="n"/>
    </row>
    <row r="5" ht="14" customHeight="1">
      <c r="A5" s="115" t="inlineStr">
        <is>
          <t xml:space="preserve">  AUTO-ENRICHMENT → SCORING → SIGNAL FLOW</t>
        </is>
      </c>
    </row>
    <row r="6" ht="24" customHeight="1">
      <c r="A6" s="116" t="inlineStr">
        <is>
          <t xml:space="preserve">  1. Submission Received  ▶</t>
        </is>
      </c>
      <c r="B6" s="117" t="inlineStr">
        <is>
          <t xml:space="preserve">  2. BitSight Screen  ▶</t>
        </is>
      </c>
      <c r="C6" s="116" t="inlineStr">
        <is>
          <t xml:space="preserve">  3. RDC/GRID Screen  ▶</t>
        </is>
      </c>
      <c r="D6" s="117" t="inlineStr">
        <is>
          <t xml:space="preserve">  4. Auto-Enrich  ▶</t>
        </is>
      </c>
      <c r="E6" s="116" t="inlineStr">
        <is>
          <t xml:space="preserve">  5. Score 5 Dimensions  ▶</t>
        </is>
      </c>
      <c r="F6" s="117" t="inlineStr">
        <is>
          <t xml:space="preserve">  6. Signal</t>
        </is>
      </c>
    </row>
    <row r="7" ht="24" customHeight="1">
      <c r="A7" s="118" t="inlineStr">
        <is>
          <t xml:space="preserve">  Firm name + profession type + revenue + client types + services description</t>
        </is>
      </c>
      <c r="B7" s="118" t="inlineStr">
        <is>
          <t xml:space="preserve">  Cyber risk score fires immediately — critical for tech E&amp;O</t>
        </is>
      </c>
      <c r="C7" s="118" t="inlineStr">
        <is>
          <t xml:space="preserve">  Regulatory + disciplinary database check on firm + all principals</t>
        </is>
      </c>
      <c r="D7" s="118" t="inlineStr">
        <is>
          <t xml:space="preserve">  Orbis financials + EDF-X PD + Cortera credit score</t>
        </is>
      </c>
      <c r="E7" s="118" t="inlineStr">
        <is>
          <t xml:space="preserve">  Regulatory/conduct + cyber + financial + operational + macro</t>
        </is>
      </c>
      <c r="F7" s="118" t="inlineStr">
        <is>
          <t xml:space="preserve">  RAG + top concerns + retroactive date recommendation → UW</t>
        </is>
      </c>
    </row>
    <row r="8" ht="5" customHeight="1"/>
    <row r="9" ht="28" customHeight="1">
      <c r="A9" s="156" t="inlineStr">
        <is>
          <t>Risk Dimension</t>
        </is>
      </c>
      <c r="B9" s="156" t="inlineStr">
        <is>
          <t>Weight</t>
        </is>
      </c>
      <c r="C9" s="156" t="inlineStr">
        <is>
          <t>Signal / Feature</t>
        </is>
      </c>
      <c r="D9" s="156" t="inlineStr">
        <is>
          <t>Moody's Data Source</t>
        </is>
      </c>
      <c r="E9" s="156" t="inlineStr">
        <is>
          <t>Scoring Logic (0–10 scale)</t>
        </is>
      </c>
      <c r="F9" s="156" t="inlineStr">
        <is>
          <t>🟢 Low Risk (0–3)</t>
        </is>
      </c>
      <c r="G9" s="156" t="inlineStr">
        <is>
          <t>🟡 Moderate (4–6)</t>
        </is>
      </c>
      <c r="H9" s="156" t="inlineStr">
        <is>
          <t>🔴 High Risk (7–10)</t>
        </is>
      </c>
      <c r="I9" s="157" t="inlineStr">
        <is>
          <t>Auto Red Line?</t>
        </is>
      </c>
    </row>
    <row r="10" ht="40" customHeight="1">
      <c r="A10" s="158" t="inlineStr">
        <is>
          <t>Professional Conduct &amp; Regulatory Risk</t>
        </is>
      </c>
      <c r="B10" s="159" t="inlineStr">
        <is>
          <t>30%</t>
        </is>
      </c>
      <c r="C10" s="40" t="inlineStr">
        <is>
          <t>RDC/GRID Disciplinary &amp; Regulatory Actions</t>
        </is>
      </c>
      <c r="D10" s="124" t="inlineStr">
        <is>
          <t>RDC/GRID — FINRA, SEC, FCA, state bar, medical board, CPA board actions</t>
        </is>
      </c>
      <c r="E10" s="160" t="inlineStr">
        <is>
          <t>Clean→0 | Historical &gt;5yr resolved→2 | Historical &lt;5yr→5 | Active→10</t>
        </is>
      </c>
      <c r="F10" s="161" t="inlineStr">
        <is>
          <t>Clean regulatory record. No disciplinary history across all principals.</t>
        </is>
      </c>
      <c r="G10" s="162" t="inlineStr">
        <is>
          <t>Minor historical disciplinary action. &gt;3yr ago. Resolved. Co-operation credit.</t>
        </is>
      </c>
      <c r="H10" s="163" t="inlineStr">
        <is>
          <t>Active regulatory investigation or disciplinary proceeding against firm or principal.</t>
        </is>
      </c>
      <c r="I10" s="167" t="inlineStr">
        <is>
          <t>⛔ Active license suspension or revocation = BLACK</t>
        </is>
      </c>
    </row>
    <row r="11" ht="40" customHeight="1">
      <c r="A11" s="166" t="n"/>
      <c r="B11" s="166" t="n"/>
      <c r="C11" s="40" t="inlineStr">
        <is>
          <t>Prior E&amp;O Claims (5-year window)</t>
        </is>
      </c>
      <c r="D11" s="124" t="inlineStr">
        <is>
          <t>Application loss runs + RDC/GRID litigation monitoring</t>
        </is>
      </c>
      <c r="E11" s="160" t="inlineStr">
        <is>
          <t>0 claims→0 | 1 claim resolved &lt;$100K→3 | 1 claim &gt;$100K or open→6 | 2+ claims→9</t>
        </is>
      </c>
      <c r="F11" s="161" t="inlineStr">
        <is>
          <t>Zero prior E&amp;O claims. Clean professional track record.</t>
        </is>
      </c>
      <c r="G11" s="162" t="inlineStr">
        <is>
          <t>One minor claim resolved. Root cause documented. No pattern.</t>
        </is>
      </c>
      <c r="H11" s="163" t="inlineStr">
        <is>
          <t>Multiple claims or large open reserve. Pattern suggests systemic professional issue.</t>
        </is>
      </c>
      <c r="I11" s="164" t="n"/>
    </row>
    <row r="12" ht="40" customHeight="1">
      <c r="A12" s="168" t="inlineStr">
        <is>
          <t>Cyber &amp; Data Liability Risk</t>
        </is>
      </c>
      <c r="B12" s="169" t="inlineStr">
        <is>
          <t>25%</t>
        </is>
      </c>
      <c r="C12" s="40" t="inlineStr">
        <is>
          <t>BitSight Cyber Risk Score</t>
        </is>
      </c>
      <c r="D12" s="124" t="inlineStr">
        <is>
          <t>BitSight external attack surface scan — critical for tech/professional E&amp;O</t>
        </is>
      </c>
      <c r="E12" s="160" t="inlineStr">
        <is>
          <t>&gt;750→1 | 650–750→3 | 550–650→6 | &lt;550→8 | Prior breach→9</t>
        </is>
      </c>
      <c r="F12" s="161" t="inlineStr">
        <is>
          <t>&gt;750. Grade A. Strong patching cadence. No open critical CVEs.</t>
        </is>
      </c>
      <c r="G12" s="162" t="inlineStr">
        <is>
          <t>600–700. Grade B/C. Some lag. No critical exposures. Remediation plan.</t>
        </is>
      </c>
      <c r="H12" s="163" t="inlineStr">
        <is>
          <t>&lt;550. Grade D/F. Critical vulnerabilities. Prior undisclosed breach indicators.</t>
        </is>
      </c>
      <c r="I12" s="167" t="inlineStr">
        <is>
          <t>⛔ Prior confirmed data breach + sub-500 BitSight = mandatory RED/BLACK</t>
        </is>
      </c>
    </row>
    <row r="13" ht="40" customHeight="1">
      <c r="A13" s="166" t="n"/>
      <c r="B13" s="166" t="n"/>
      <c r="C13" s="40" t="inlineStr">
        <is>
          <t>Data Sensitivity of Client Work</t>
        </is>
      </c>
      <c r="D13" s="124" t="inlineStr">
        <is>
          <t>Application + Orbis industry classification of clients</t>
        </is>
      </c>
      <c r="E13" s="160" t="inlineStr">
        <is>
          <t>No sensitive data handled→1 | Commercial confidential→3 | PII/PHI→6 | Financial/classified→8</t>
        </is>
      </c>
      <c r="F13" s="161" t="inlineStr">
        <is>
          <t>No client PII/PHI handled. Work product is business advice, not data-adjacent.</t>
        </is>
      </c>
      <c r="G13" s="162" t="inlineStr">
        <is>
          <t>Some PII handled. Encryption standards verified. Data handling procedures documented.</t>
        </is>
      </c>
      <c r="H13" s="163" t="inlineStr">
        <is>
          <t>PHI, financial data, or classified information handled at scale. High breach impact.</t>
        </is>
      </c>
      <c r="I13" s="164" t="n"/>
    </row>
    <row r="14" ht="40" customHeight="1">
      <c r="A14" s="170" t="inlineStr">
        <is>
          <t>Financial Stability</t>
        </is>
      </c>
      <c r="B14" s="171" t="inlineStr">
        <is>
          <t>20%</t>
        </is>
      </c>
      <c r="C14" s="40" t="inlineStr">
        <is>
          <t>EDF-X PD (Private Company Model)</t>
        </is>
      </c>
      <c r="D14" s="124" t="inlineStr">
        <is>
          <t>EDF-X private company PD — most E&amp;O firms are unrated private entities</t>
        </is>
      </c>
      <c r="E14" s="160" t="inlineStr">
        <is>
          <t>PD &lt;1%→1 | 1–3%→4 | 3–6%→7 | &gt;6%→9</t>
        </is>
      </c>
      <c r="F14" s="161" t="inlineStr">
        <is>
          <t>Financially stable. Revenue growing. Working capital positive. No distress signals.</t>
        </is>
      </c>
      <c r="G14" s="162" t="inlineStr">
        <is>
          <t>Moderate risk. Adequate cash flow. Some revenue concentration.</t>
        </is>
      </c>
      <c r="H14" s="163" t="inlineStr">
        <is>
          <t>Financially distressed. Firm may cut corners on professional quality to survive.</t>
        </is>
      </c>
      <c r="I14" s="164" t="n"/>
    </row>
    <row r="15" ht="40" customHeight="1">
      <c r="A15" s="166" t="n"/>
      <c r="B15" s="166" t="n"/>
      <c r="C15" s="40" t="inlineStr">
        <is>
          <t>Client Concentration Risk</t>
        </is>
      </c>
      <c r="D15" s="124" t="inlineStr">
        <is>
          <t>Application + Orbis client identification + EDF-X client PD</t>
        </is>
      </c>
      <c r="E15" s="160" t="inlineStr">
        <is>
          <t>No client &gt;15% revenue→1 | Top client 15–25%→4 | Top client &gt;25%→7 | &gt;40%→9</t>
        </is>
      </c>
      <c r="F15" s="161" t="inlineStr">
        <is>
          <t>Diversified client base. No single client &gt;15% of revenue.</t>
        </is>
      </c>
      <c r="G15" s="162" t="inlineStr">
        <is>
          <t>Top client 15–25%. Creditworthy client (EDF-X PD low). Manageable.</t>
        </is>
      </c>
      <c r="H15" s="163" t="inlineStr">
        <is>
          <t>Single client &gt;40% of revenue. Loss of that client = financial distress + claims risk.</t>
        </is>
      </c>
      <c r="I15" s="164" t="n"/>
    </row>
    <row r="16" ht="40" customHeight="1">
      <c r="A16" s="172" t="inlineStr">
        <is>
          <t>Operational Risk Management</t>
        </is>
      </c>
      <c r="B16" s="173" t="inlineStr">
        <is>
          <t>15%</t>
        </is>
      </c>
      <c r="C16" s="40" t="inlineStr">
        <is>
          <t>QA/QC Framework &amp; Peer Review</t>
        </is>
      </c>
      <c r="D16" s="124" t="inlineStr">
        <is>
          <t>Application + Orbis ISO certification data</t>
        </is>
      </c>
      <c r="E16" s="160" t="inlineStr">
        <is>
          <t>Formal QA + ISO cert→1 | Documented QA program→3 | Informal only→6 | None→8</t>
        </is>
      </c>
      <c r="F16" s="161" t="inlineStr">
        <is>
          <t>Formal documented QA/QC. Independent peer review for high-stakes deliverables. ISO certified.</t>
        </is>
      </c>
      <c r="G16" s="162" t="inlineStr">
        <is>
          <t>Documented QA process. No formal certification. Peer review informal.</t>
        </is>
      </c>
      <c r="H16" s="163" t="inlineStr">
        <is>
          <t>No QA framework. No peer review. Single-point-of-failure professional delivery.</t>
        </is>
      </c>
      <c r="I16" s="164" t="n"/>
    </row>
    <row r="17" ht="40" customHeight="1">
      <c r="A17" s="174" t="inlineStr">
        <is>
          <t>Macro &amp; Sector Context</t>
        </is>
      </c>
      <c r="B17" s="175" t="inlineStr">
        <is>
          <t>10%</t>
        </is>
      </c>
      <c r="C17" s="40" t="inlineStr">
        <is>
          <t>Sector Demand &amp; Litigation Trend</t>
        </is>
      </c>
      <c r="D17" s="124" t="inlineStr">
        <is>
          <t>Economy.com sector forecast + Praedicat sector litigation profile</t>
        </is>
      </c>
      <c r="E17" s="160" t="inlineStr">
        <is>
          <t>Stable growing sector→1 | Headwinds but stable→4 | Disrupted / AI-threatened→7</t>
        </is>
      </c>
      <c r="F17" s="161" t="inlineStr">
        <is>
          <t>Growing professional services sector. Strong demand. Low claims trend.</t>
        </is>
      </c>
      <c r="G17" s="162" t="inlineStr">
        <is>
          <t>Moderate sector headwinds. AI disruption beginning to shift liability landscape.</t>
        </is>
      </c>
      <c r="H17" s="163" t="inlineStr">
        <is>
          <t>Sector under structural disruption. Revenue pressure driving shortcuts. Claims rising.</t>
        </is>
      </c>
      <c r="I17" s="164" t="n"/>
    </row>
    <row r="18" ht="5" customHeight="1"/>
    <row r="19" ht="16" customHeight="1">
      <c r="A19" s="136" t="inlineStr">
        <is>
          <t xml:space="preserve">  RED LINE RULES — AUTOMATIC SIGNAL OVERRIDE (Triggers ⛔ BLACK regardless of score)</t>
        </is>
      </c>
    </row>
    <row r="20" ht="20" customHeight="1">
      <c r="A20" s="180" t="inlineStr">
        <is>
          <t>#</t>
        </is>
      </c>
      <c r="B20" s="180" t="inlineStr">
        <is>
          <t>Red Line Condition</t>
        </is>
      </c>
      <c r="C20" s="180" t="inlineStr">
        <is>
          <t>Moody's Data Source That Identifies It</t>
        </is>
      </c>
      <c r="D20" s="56" t="n"/>
      <c r="E20" s="56" t="n"/>
      <c r="F20" s="56" t="n"/>
      <c r="G20" s="57" t="n"/>
      <c r="H20" s="180" t="inlineStr">
        <is>
          <t>Action</t>
        </is>
      </c>
      <c r="I20" s="57" t="n"/>
    </row>
    <row r="21" ht="28" customHeight="1">
      <c r="A21" s="181" t="inlineStr">
        <is>
          <t>1</t>
        </is>
      </c>
      <c r="B21" s="182" t="inlineStr">
        <is>
          <t>Active license suspension or regulatory revocation of principal(s)</t>
        </is>
      </c>
      <c r="C21" s="183" t="inlineStr">
        <is>
          <t>RDC/GRID — regulatory enforcement database (FINRA, state bars, medical boards)</t>
        </is>
      </c>
      <c r="D21" s="56" t="n"/>
      <c r="E21" s="56" t="n"/>
      <c r="F21" s="56" t="n"/>
      <c r="G21" s="57" t="n"/>
      <c r="H21" s="167" t="inlineStr">
        <is>
          <t>⛔ BLACK — Cannot insure a firm where principals lack valid professional licenses.</t>
        </is>
      </c>
      <c r="I21" s="57" t="n"/>
    </row>
    <row r="22" ht="28" customHeight="1">
      <c r="A22" s="181" t="inlineStr">
        <is>
          <t>2</t>
        </is>
      </c>
      <c r="B22" s="182" t="inlineStr">
        <is>
          <t>Fraud-related E&amp;O claim in prior 5 years</t>
        </is>
      </c>
      <c r="C22" s="183" t="inlineStr">
        <is>
          <t>RDC/GRID + application loss runs</t>
        </is>
      </c>
      <c r="D22" s="56" t="n"/>
      <c r="E22" s="56" t="n"/>
      <c r="F22" s="56" t="n"/>
      <c r="G22" s="57" t="n"/>
      <c r="H22" s="167" t="inlineStr">
        <is>
          <t>⛔ BLACK — Fraud is uninsurable. Rescission risk on any bound policy.</t>
        </is>
      </c>
      <c r="I22" s="57" t="n"/>
    </row>
    <row r="23" ht="28" customHeight="1">
      <c r="A23" s="181" t="inlineStr">
        <is>
          <t>3</t>
        </is>
      </c>
      <c r="B23" s="182" t="inlineStr">
        <is>
          <t>Confirmed prior data breach AND BitSight score &lt;500</t>
        </is>
      </c>
      <c r="C23" s="183" t="inlineStr">
        <is>
          <t>RDC/GRID adverse news (breach disclosure) + BitSight scan</t>
        </is>
      </c>
      <c r="D23" s="56" t="n"/>
      <c r="E23" s="56" t="n"/>
      <c r="F23" s="56" t="n"/>
      <c r="G23" s="57" t="n"/>
      <c r="H23" s="167" t="inlineStr">
        <is>
          <t>⛔ RED/BLACK — Refer to specialty cyber/E&amp;O market with retroactive breach exclusion.</t>
        </is>
      </c>
      <c r="I23" s="57" t="n"/>
    </row>
    <row r="24" ht="5" customHeight="1"/>
    <row r="25" ht="16" customHeight="1">
      <c r="A25" s="134" t="inlineStr">
        <is>
          <t xml:space="preserve">  HYPOTHETICAL SCORED SCENARIOS — Model In Action</t>
        </is>
      </c>
    </row>
    <row r="26" ht="20" customHeight="1">
      <c r="A26" s="184" t="inlineStr">
        <is>
          <t xml:space="preserve">  SCENARIO 1 — Meridian Advisory Partners  |  150-person management consulting firm. $40M revenue. Fortune 500 clients. No prior claims.</t>
        </is>
      </c>
      <c r="H26" s="207" t="inlineStr">
        <is>
          <t>SIGNAL: 🟢 GREEN</t>
        </is>
      </c>
    </row>
    <row r="27" ht="16" customHeight="1">
      <c r="A27" s="186" t="inlineStr">
        <is>
          <t>Dimension</t>
        </is>
      </c>
      <c r="B27" s="186" t="inlineStr">
        <is>
          <t>Wt %</t>
        </is>
      </c>
      <c r="C27" s="186" t="inlineStr">
        <is>
          <t>Score (0–10)</t>
        </is>
      </c>
      <c r="D27" s="186" t="inlineStr">
        <is>
          <t>Wtd Contribution</t>
        </is>
      </c>
      <c r="E27" s="186" t="inlineStr">
        <is>
          <t>Key Signals Driving Score</t>
        </is>
      </c>
      <c r="F27" s="186" t="n"/>
      <c r="G27" s="186" t="n"/>
      <c r="H27" s="186" t="inlineStr">
        <is>
          <t>Red Line?</t>
        </is>
      </c>
      <c r="I27" s="186" t="n"/>
    </row>
    <row r="28" ht="30" customHeight="1">
      <c r="A28" s="187" t="inlineStr">
        <is>
          <t>Regulatory &amp; Conduct</t>
        </is>
      </c>
      <c r="B28" s="188" t="inlineStr">
        <is>
          <t>30%</t>
        </is>
      </c>
      <c r="C28" s="191" t="inlineStr">
        <is>
          <t>1/10</t>
        </is>
      </c>
      <c r="D28" s="191" t="inlineStr">
        <is>
          <t>3.0</t>
        </is>
      </c>
      <c r="E28" s="40" t="inlineStr">
        <is>
          <t>RDC/GRID: clean. Zero claims. No disciplinary history. All principals screened clear.</t>
        </is>
      </c>
      <c r="F28" s="56" t="n"/>
      <c r="G28" s="57" t="n"/>
      <c r="H28" s="190" t="n"/>
      <c r="I28" s="57" t="n"/>
    </row>
    <row r="29" ht="30" customHeight="1">
      <c r="A29" s="187" t="inlineStr">
        <is>
          <t>Cyber &amp; Data Risk</t>
        </is>
      </c>
      <c r="B29" s="188" t="inlineStr">
        <is>
          <t>25%</t>
        </is>
      </c>
      <c r="C29" s="191" t="inlineStr">
        <is>
          <t>3/10</t>
        </is>
      </c>
      <c r="D29" s="191" t="inlineStr">
        <is>
          <t>7.5</t>
        </is>
      </c>
      <c r="E29" s="40" t="inlineStr">
        <is>
          <t>BitSight: 720 (Grade B). No critical CVEs. Client data: commercial confidential (no PII at scale).</t>
        </is>
      </c>
      <c r="F29" s="56" t="n"/>
      <c r="G29" s="57" t="n"/>
      <c r="H29" s="190" t="n"/>
      <c r="I29" s="57" t="n"/>
    </row>
    <row r="30" ht="30" customHeight="1">
      <c r="A30" s="187" t="inlineStr">
        <is>
          <t>Financial Stability</t>
        </is>
      </c>
      <c r="B30" s="188" t="inlineStr">
        <is>
          <t>20%</t>
        </is>
      </c>
      <c r="C30" s="191" t="inlineStr">
        <is>
          <t>2/10</t>
        </is>
      </c>
      <c r="D30" s="191" t="inlineStr">
        <is>
          <t>4.0</t>
        </is>
      </c>
      <c r="E30" s="40" t="inlineStr">
        <is>
          <t>EDF-X PD: 0.7%. Revenue: $40M growing. No client &gt;18% of revenue. CPR: 82.</t>
        </is>
      </c>
      <c r="F30" s="56" t="n"/>
      <c r="G30" s="57" t="n"/>
      <c r="H30" s="190" t="n"/>
      <c r="I30" s="57" t="n"/>
    </row>
    <row r="31" ht="30" customHeight="1">
      <c r="A31" s="187" t="inlineStr">
        <is>
          <t>Operational Risk Mgmt</t>
        </is>
      </c>
      <c r="B31" s="188" t="inlineStr">
        <is>
          <t>15%</t>
        </is>
      </c>
      <c r="C31" s="191" t="inlineStr">
        <is>
          <t>2/10</t>
        </is>
      </c>
      <c r="D31" s="191" t="inlineStr">
        <is>
          <t>3.0</t>
        </is>
      </c>
      <c r="E31" s="40" t="inlineStr">
        <is>
          <t>ISO 9001 certified. Formal peer review for all deliverables. Engagement letters: 100% coverage.</t>
        </is>
      </c>
      <c r="F31" s="56" t="n"/>
      <c r="G31" s="57" t="n"/>
      <c r="H31" s="190" t="n"/>
      <c r="I31" s="57" t="n"/>
    </row>
    <row r="32" ht="30" customHeight="1">
      <c r="A32" s="187" t="inlineStr">
        <is>
          <t>Macro &amp; Sector</t>
        </is>
      </c>
      <c r="B32" s="188" t="inlineStr">
        <is>
          <t>10%</t>
        </is>
      </c>
      <c r="C32" s="189" t="inlineStr">
        <is>
          <t>4/10</t>
        </is>
      </c>
      <c r="D32" s="189" t="inlineStr">
        <is>
          <t>4.0</t>
        </is>
      </c>
      <c r="E32" s="40" t="inlineStr">
        <is>
          <t>Consulting sector: Economy.com outlook stable. AI disruption: moderate risk. Claims trend: flat.</t>
        </is>
      </c>
      <c r="F32" s="56" t="n"/>
      <c r="G32" s="57" t="n"/>
      <c r="H32" s="190" t="n"/>
      <c r="I32" s="57" t="n"/>
    </row>
    <row r="33" ht="24" customHeight="1">
      <c r="A33" s="208" t="inlineStr">
        <is>
          <t>COMPOSITE SCORE</t>
        </is>
      </c>
      <c r="B33" s="57" t="n"/>
      <c r="C33" s="209" t="inlineStr">
        <is>
          <t>24/100</t>
        </is>
      </c>
      <c r="D33" s="41" t="inlineStr">
        <is>
          <t>→ 🟢 GREEN</t>
        </is>
      </c>
      <c r="E33" s="210" t="inlineStr">
        <is>
          <t>ACTION: Fast-track. Clean regulatory record, strong financials, diversified client base. Standard terms apply.</t>
        </is>
      </c>
      <c r="F33" s="56" t="n"/>
      <c r="G33" s="56" t="n"/>
      <c r="H33" s="56" t="n"/>
      <c r="I33" s="57" t="n"/>
    </row>
    <row r="34" ht="5" customHeight="1"/>
  </sheetData>
  <mergeCells count="50">
    <mergeCell ref="A25:I25"/>
    <mergeCell ref="E28:G28"/>
    <mergeCell ref="H20:I20"/>
    <mergeCell ref="B12:B13"/>
    <mergeCell ref="H29:I29"/>
    <mergeCell ref="C7"/>
    <mergeCell ref="E31:G31"/>
    <mergeCell ref="B6"/>
    <mergeCell ref="E7"/>
    <mergeCell ref="E33:I33"/>
    <mergeCell ref="A3:I3"/>
    <mergeCell ref="H31:I31"/>
    <mergeCell ref="E30:G30"/>
    <mergeCell ref="B14:B15"/>
    <mergeCell ref="H21:I21"/>
    <mergeCell ref="A2:I2"/>
    <mergeCell ref="C20:G20"/>
    <mergeCell ref="A5:I5"/>
    <mergeCell ref="A12:A13"/>
    <mergeCell ref="B7"/>
    <mergeCell ref="C6"/>
    <mergeCell ref="B10:B11"/>
    <mergeCell ref="B22"/>
    <mergeCell ref="A4:I4"/>
    <mergeCell ref="C22:G22"/>
    <mergeCell ref="A14:A15"/>
    <mergeCell ref="F6:I6"/>
    <mergeCell ref="E32:G32"/>
    <mergeCell ref="A6"/>
    <mergeCell ref="C21:G21"/>
    <mergeCell ref="A19:I19"/>
    <mergeCell ref="F7:I7"/>
    <mergeCell ref="B21"/>
    <mergeCell ref="H32:I32"/>
    <mergeCell ref="A33:B33"/>
    <mergeCell ref="A7"/>
    <mergeCell ref="D6"/>
    <mergeCell ref="H22:I22"/>
    <mergeCell ref="A10:A11"/>
    <mergeCell ref="C23:G23"/>
    <mergeCell ref="H28:I28"/>
    <mergeCell ref="B23"/>
    <mergeCell ref="D7"/>
    <mergeCell ref="A1:I1"/>
    <mergeCell ref="A26:G26"/>
    <mergeCell ref="E6"/>
    <mergeCell ref="H23:I23"/>
    <mergeCell ref="E29:G29"/>
    <mergeCell ref="H30:I30"/>
    <mergeCell ref="H26:I26"/>
  </mergeCells>
  <pageMargins left="0.75" right="0.75" top="1" bottom="1" header="0.5" footer="0.5"/>
</worksheet>
</file>

<file path=xl/worksheets/sheet21.xml><?xml version="1.0" encoding="utf-8"?>
<worksheet xmlns="http://schemas.openxmlformats.org/spreadsheetml/2006/main">
  <sheetPr>
    <tabColor rgb="00CC0000"/>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22" customWidth="1" min="1" max="1"/>
    <col width="20" customWidth="1" min="2" max="2"/>
    <col width="34" customWidth="1" min="3" max="3"/>
    <col width="34" customWidth="1" min="4" max="4"/>
    <col width="22" customWidth="1" min="5" max="5"/>
    <col width="22" customWidth="1" min="6" max="6"/>
  </cols>
  <sheetData>
    <row r="1" ht="40" customHeight="1">
      <c r="A1" s="94" t="inlineStr">
        <is>
          <t xml:space="preserve">  Stress Test — 10 Scenarios That Challenge the Model</t>
        </is>
      </c>
    </row>
    <row r="2" ht="18" customHeight="1">
      <c r="A2" s="155" t="inlineStr">
        <is>
          <t xml:space="preserve">  Each scenario tests a specific model assumption, failure mode, or edge case. The response demonstrates model robustness and where human judgment is still required.</t>
        </is>
      </c>
    </row>
    <row r="3" ht="4" customHeight="1">
      <c r="A3" s="33" t="n"/>
    </row>
    <row r="4" ht="22" customHeight="1">
      <c r="A4" s="48" t="inlineStr">
        <is>
          <t>#</t>
        </is>
      </c>
      <c r="B4" s="48" t="inlineStr">
        <is>
          <t>Stress Scenario</t>
        </is>
      </c>
      <c r="C4" s="48" t="inlineStr">
        <is>
          <t>The Challenge / Weakness Being Tested</t>
        </is>
      </c>
      <c r="D4" s="48" t="inlineStr">
        <is>
          <t>Model Response &amp; Mitigation</t>
        </is>
      </c>
      <c r="E4" s="48" t="inlineStr">
        <is>
          <t>Verdict</t>
        </is>
      </c>
      <c r="F4" s="48" t="inlineStr">
        <is>
          <t>LOB</t>
        </is>
      </c>
    </row>
    <row r="5" ht="72" customHeight="1">
      <c r="A5" s="211" t="inlineStr">
        <is>
          <t>ST-1  Missing Data — Thin-File Private Company</t>
        </is>
      </c>
      <c r="B5" s="212" t="inlineStr">
        <is>
          <t>CHALLENGE:
Small LLC submits for $5M D&amp;O. No public filings. No Orbis financials. EDF-X returns sparse data. Underwriter has almost nothing to work with.</t>
        </is>
      </c>
      <c r="C5" s="212" t="inlineStr">
        <is>
          <t>MODEL RESPONSE:
Model assigns 'data-limited' flag. Missing financial signals default to conservative mid-range assumption (score 5/10 for each missing dimension). Data Completeness Score generated: 40/100. Signal: YELLOW with mandatory 'Additional Information Request' trigger. UW is prompted to request 3yr financials, bank reference, prior carrier loss runs. Model is MORE cautious when data is thin — not less.</t>
        </is>
      </c>
      <c r="D5" s="57" t="n"/>
      <c r="E5" s="168" t="inlineStr">
        <is>
          <t>✅ PASS — Conservative by design</t>
        </is>
      </c>
      <c r="F5" s="213" t="inlineStr">
        <is>
          <t>D&amp;O</t>
        </is>
      </c>
    </row>
    <row r="6" ht="72" customHeight="1">
      <c r="A6" s="214" t="inlineStr">
        <is>
          <t>ST-2  Enron Pattern — Strong Financials, Hidden Fraud</t>
        </is>
      </c>
      <c r="B6" s="160" t="inlineStr">
        <is>
          <t>CHALLENGE:
Company has excellent EDF-X score, Big 4 auditor, clean RDC/GRID screen, high board independence. But earnings are being fraudulently manipulated. Model scores GREEN.</t>
        </is>
      </c>
      <c r="C6" s="160" t="inlineStr">
        <is>
          <t>MODEL RESPONSE:
This is the model's acknowledged blind spot. Mitigation: (1) EDF-X earnings quality flag catches accrual manipulation that precedes restatements. (2) RDC/GRID monitors for any whistleblower filings, SEC informal inquiries, or analyst skepticism. (3) Model is explicit: GREEN = favorable signals, not fraud-free guarantee. Underwriter disclosure requirements remain. The model reduces research time — it doesn't eliminate underwriting judgment.</t>
        </is>
      </c>
      <c r="D6" s="57" t="n"/>
      <c r="E6" s="215" t="inlineStr">
        <is>
          <t>⚠️ ACKNOWLEDGED RISK — Mitigated but not eliminated</t>
        </is>
      </c>
      <c r="F6" s="216" t="inlineStr">
        <is>
          <t>D&amp;O</t>
        </is>
      </c>
    </row>
    <row r="7" ht="72" customHeight="1">
      <c r="A7" s="211" t="inlineStr">
        <is>
          <t>ST-3  Broker Gaming — Misrepresented Operations (GL)</t>
        </is>
      </c>
      <c r="B7" s="212" t="inlineStr">
        <is>
          <t>CHALLENGE:
Broker describes insured as 'industrial parts distributor.' Actual business includes PFAS-coated components. Praedicat screen on stated NAICS returns clean. Red line is missed.</t>
        </is>
      </c>
      <c r="C7" s="212" t="inlineStr">
        <is>
          <t>MODEL RESPONSE:
Mitigation (1): Orbis SIC/NAICS cross-references stated operations vs. actual company filings — discrepancy is flagged. (2) Praedicat screen runs on BOTH stated NAICS AND Orbis-derived NAICS. (3) Any gap between stated and Orbis industry = 'description mismatch flag' that triggers UW deep dive. (4) Post-bind: ongoing Cortera/RDC/GRID monitoring catches adverse news if product liability emerges.</t>
        </is>
      </c>
      <c r="D7" s="57" t="n"/>
      <c r="E7" s="168" t="inlineStr">
        <is>
          <t>✅ PASS — External data protects against gaming</t>
        </is>
      </c>
      <c r="F7" s="213" t="inlineStr">
        <is>
          <t>GL</t>
        </is>
      </c>
    </row>
    <row r="8" ht="72" customHeight="1">
      <c r="A8" s="214" t="inlineStr">
        <is>
          <t>ST-4  Rapid Deterioration Post-Bind (D&amp;O)</t>
        </is>
      </c>
      <c r="B8" s="160" t="inlineStr">
        <is>
          <t>CHALLENGE:
Account was scored GREEN and bound. 4 months later: earnings miss, CFO resigns, short-seller report published. EDF-X PD jumps from 1.2% to 4.8%.</t>
        </is>
      </c>
      <c r="C8" s="160" t="inlineStr">
        <is>
          <t>MODEL RESPONSE:
Model is not static. EDF-X Early Warning System provides continuous monitoring post-bind. When EDF-X EWS flag triggers (PD changes &gt;50% in 3 months OR PD-implied rating drops 2+ notches), automated alert fires to portfolio underwriter. RDC/GRID real-time adverse news alert fires on short-seller report within minutes. Policy is flagged for mid-term review. This is the model's most powerful post-bind use case.</t>
        </is>
      </c>
      <c r="D8" s="57" t="n"/>
      <c r="E8" s="168" t="inlineStr">
        <is>
          <t>✅ PASS — Real-time monitoring closes the gap</t>
        </is>
      </c>
      <c r="F8" s="216" t="inlineStr">
        <is>
          <t>D&amp;O</t>
        </is>
      </c>
    </row>
    <row r="9" ht="72" customHeight="1">
      <c r="A9" s="211" t="inlineStr">
        <is>
          <t>ST-5  Class Imbalance — Model Over-Flags Low-Frequency Events</t>
        </is>
      </c>
      <c r="B9" s="212" t="inlineStr">
        <is>
          <t>CHALLENGE:
Claims are rare (5–15% of submissions in most LOBs). A naive model trained on labeled data will bias toward predicting 'no claim' because that's the majority class. Model may score most accounts GREEN and miss true positives.</t>
        </is>
      </c>
      <c r="C9" s="212" t="inlineStr">
        <is>
          <t>MODEL RESPONSE:
Phase 1 (scorecard): Class imbalance is irrelevant — weights are set by expert judgment, not data. Phase 2 (ML): Model uses oversampling (SMOTE), class weighting, and threshold optimization calibrated to maximize AUC-PR (not AUC-ROC which ignores imbalance). Scores calibrated to loss ratio buckets, not binary claims. Percentile rank within industry cohort used as the displayed metric — not raw probability.</t>
        </is>
      </c>
      <c r="D9" s="57" t="n"/>
      <c r="E9" s="168" t="inlineStr">
        <is>
          <t>✅ PASS — By design in both phases</t>
        </is>
      </c>
      <c r="F9" s="213" t="inlineStr">
        <is>
          <t>All LOBs</t>
        </is>
      </c>
    </row>
    <row r="10" ht="72" customHeight="1">
      <c r="A10" s="214" t="inlineStr">
        <is>
          <t>ST-6  Sanctions Evasion via Complex Ownership Structure</t>
        </is>
      </c>
      <c r="B10" s="160" t="inlineStr">
        <is>
          <t>CHALLENGE:
Sanctioned oligarch owns 8% of holding company, which owns 31% of the insured entity. Standard company-level screen returns clean. Sanctions exposure is buried.</t>
        </is>
      </c>
      <c r="C10" s="160" t="inlineStr">
        <is>
          <t>MODEL RESPONSE:
Orbis UBO tree traces ownership to all beneficial owners above configurable threshold (default: 10% direct or indirect). RDC/GRID screen runs against ALL entities in the ownership chain — not just the named insured. This is standard KYC/AML practice. The Orbis + RDC/GRID combination is specifically designed for this scenario and is the industry standard for AML compliance.</t>
        </is>
      </c>
      <c r="D10" s="57" t="n"/>
      <c r="E10" s="168" t="inlineStr">
        <is>
          <t>✅ PASS — UBO tree + RDC/GRID is designed for this</t>
        </is>
      </c>
      <c r="F10" s="216" t="inlineStr">
        <is>
          <t>All LOBs</t>
        </is>
      </c>
    </row>
    <row r="11" ht="72" customHeight="1">
      <c r="A11" s="211" t="inlineStr">
        <is>
          <t>ST-7  Social Inflation Surge Invalidates Historical Weights (Excess)</t>
        </is>
      </c>
      <c r="B11" s="212" t="inlineStr">
        <is>
          <t>CHALLENGE:
Social inflation hit 7% in 2023 — a 20-year high. 135+ nuclear verdicts &gt;$10M in 2024. If the excess casualty model was calibrated in 2019, jurisdictional risk weights are severely understated. Model scores accounts GREEN that should be YELLOW/RED.</t>
        </is>
      </c>
      <c r="C11" s="212" t="inlineStr">
        <is>
          <t>MODEL RESPONSE:
Annual recalibration is mandatory. Praedicat continuously updates NV frequency/severity data and TPLF tracking. Economy.com social inflation index updated monthly. Model governance: weights reviewed annually by LOB against actual loss ratio outcomes. Interim: Praedicat real-time NV data feeds into jurisdiction dimension dynamically — it's not a static coefficient.</t>
        </is>
      </c>
      <c r="D11" s="57" t="n"/>
      <c r="E11" s="168" t="inlineStr">
        <is>
          <t>✅ PASS — Dynamic data prevents full drift. Annual recal required.</t>
        </is>
      </c>
      <c r="F11" s="213" t="inlineStr">
        <is>
          <t>Excess Casualty</t>
        </is>
      </c>
    </row>
    <row r="12" ht="72" customHeight="1">
      <c r="A12" s="214" t="inlineStr">
        <is>
          <t>ST-8  Multi-LOB Correlation — Same Insured, Different Scores</t>
        </is>
      </c>
      <c r="B12" s="160" t="inlineStr">
        <is>
          <t>CHALLENGE:
Same insured is scored for GL (🟢 GREEN) and D&amp;O (🔴 RED) simultaneously. Underwriters write both lines independently and don't see the cross-LOB risk correlation. A company in financial distress affects ALL lines.</t>
        </is>
      </c>
      <c r="C12" s="160" t="inlineStr">
        <is>
          <t>MODEL RESPONSE:
Portfolio-level correlation module: when same BvD ID appears across LOBs, highest risk signal propagates as an advisory flag to all LOB underwriters. Financial distress in D&amp;O model = automatic advisory flag to GL/E&amp;O/Excess underwriters on that account. Cross-LOB concentration report generated for portfolio manager monthly.</t>
        </is>
      </c>
      <c r="D12" s="57" t="n"/>
      <c r="E12" s="168" t="inlineStr">
        <is>
          <t>✅ PASS — Requires cross-LOB portfolio view (Phase 2 feature)</t>
        </is>
      </c>
      <c r="F12" s="216" t="inlineStr">
        <is>
          <t>All LOBs</t>
        </is>
      </c>
    </row>
    <row r="13" ht="72" customHeight="1">
      <c r="A13" s="211" t="inlineStr">
        <is>
          <t>ST-9  Emerging Risk Not In Model — AI Liability (2023 Example)</t>
        </is>
      </c>
      <c r="B13" s="212" t="inlineStr">
        <is>
          <t>CHALLENGE:
AI-generated professional advice errors were not a meaningful E&amp;O risk category in 2021. By 2024, multiple E&amp;O claims filed against AI tool providers. Model's E&amp;O tech risk weights were calibrated before this emerged.</t>
        </is>
      </c>
      <c r="C13" s="212" t="inlineStr">
        <is>
          <t>MODEL RESPONSE:
Two mechanisms: (1) Praedicat emerging risk pipeline — Praedicat's scientific literature monitoring identifies new Litagion-equivalent agents for liability BEFORE they become mass litigation. (2) RDC/GRID adverse news tracks new claim types as they emerge in media. (3) Model governance process: quarterly 'emerging risk review' incorporates new risk signals. AI liability is now explicitly a scored dimension in E&amp;O model.</t>
        </is>
      </c>
      <c r="D13" s="57" t="n"/>
      <c r="E13" s="217" t="inlineStr">
        <is>
          <t>✅ PARTIAL PASS — Lag risk acknowledged; Praedicat partially mitigates</t>
        </is>
      </c>
      <c r="F13" s="213" t="inlineStr">
        <is>
          <t>E&amp;O</t>
        </is>
      </c>
    </row>
    <row r="14" ht="72" customHeight="1">
      <c r="A14" s="214" t="inlineStr">
        <is>
          <t>ST-10  Regulatory Challenge to Model Factors</t>
        </is>
      </c>
      <c r="B14" s="160" t="inlineStr">
        <is>
          <t>CHALLENGE:
State insurance regulator requests justification for all model variables. Concerned that industry classification + geography might proxy for protected characteristics (race, income, origin). Filing challenge initiated.</t>
        </is>
      </c>
      <c r="C14" s="160" t="inlineStr">
        <is>
          <t>MODEL RESPONSE:
All variables are actuarially justified risk factors documented in the model's rate filing support. SHAP attribution maps every score component to a filed rating factor. Fairness audit run annually: statistical disparity analysis across demographic groups using HMDA-equivalent testing. Variables that show disparate impact without actuarial justification are removed. Model is NAIC AI governance compliant — 24 states have adopted these standards. Full audit trail of every enrichment call preserved.</t>
        </is>
      </c>
      <c r="D14" s="57" t="n"/>
      <c r="E14" s="168" t="inlineStr">
        <is>
          <t>✅ PASS — Explainability + fairness audit = regulatory defensibility</t>
        </is>
      </c>
      <c r="F14" s="216" t="inlineStr">
        <is>
          <t>All LOBs</t>
        </is>
      </c>
    </row>
  </sheetData>
  <mergeCells count="13">
    <mergeCell ref="A2:F2"/>
    <mergeCell ref="C12:D12"/>
    <mergeCell ref="C6:D6"/>
    <mergeCell ref="C10:D10"/>
    <mergeCell ref="C7:D7"/>
    <mergeCell ref="C11:D11"/>
    <mergeCell ref="A1:F1"/>
    <mergeCell ref="C5:D5"/>
    <mergeCell ref="C14:D14"/>
    <mergeCell ref="C13:D13"/>
    <mergeCell ref="C9:D9"/>
    <mergeCell ref="A3:F3"/>
    <mergeCell ref="C8:D8"/>
  </mergeCells>
  <pageMargins left="0.75" right="0.75" top="1" bottom="1" header="0.5" footer="0.5"/>
</worksheet>
</file>

<file path=xl/worksheets/sheet22.xml><?xml version="1.0" encoding="utf-8"?>
<worksheet xmlns="http://schemas.openxmlformats.org/spreadsheetml/2006/main">
  <sheetPr>
    <tabColor rgb="00276749"/>
    <outlinePr summaryBelow="1" summaryRight="1"/>
    <pageSetUpPr/>
  </sheetPr>
  <dimension ref="A1:F29"/>
  <sheetViews>
    <sheetView showGridLines="0" workbookViewId="0">
      <pane ySplit="3" topLeftCell="A4" activePane="bottomLeft" state="frozen"/>
      <selection pane="bottomLeft" activeCell="A1" sqref="A1"/>
    </sheetView>
  </sheetViews>
  <sheetFormatPr baseColWidth="8" defaultRowHeight="15"/>
  <cols>
    <col width="24" customWidth="1" min="1" max="1"/>
    <col width="14" customWidth="1" min="2" max="2"/>
    <col width="34" customWidth="1" min="3" max="3"/>
    <col width="34" customWidth="1" min="4" max="4"/>
    <col width="22" customWidth="1" min="5" max="5"/>
    <col width="22" customWidth="1" min="6" max="6"/>
  </cols>
  <sheetData>
    <row r="1" ht="40" customHeight="1">
      <c r="A1" s="94" t="inlineStr">
        <is>
          <t xml:space="preserve">  Implementation Roadmap — From Scorecard to ML-Trained Predictive Engine</t>
        </is>
      </c>
    </row>
    <row r="2" ht="18" customHeight="1">
      <c r="A2" s="155" t="inlineStr">
        <is>
          <t xml:space="preserve">  Three phases: deploy immediately with expert scorecard → calibrate with ML once claims data accumulates → continuous learning engine</t>
        </is>
      </c>
    </row>
    <row r="3" ht="4" customHeight="1">
      <c r="A3" s="33" t="n"/>
    </row>
    <row r="4" ht="26" customHeight="1">
      <c r="A4" s="218" t="inlineStr">
        <is>
          <t xml:space="preserve">  PHASE 1 — Expert Scorecard  |  Months 0–6</t>
        </is>
      </c>
    </row>
    <row r="5" ht="18" customHeight="1">
      <c r="A5" s="219" t="inlineStr">
        <is>
          <t>Milestone</t>
        </is>
      </c>
      <c r="B5" s="219" t="inlineStr">
        <is>
          <t>Timeline</t>
        </is>
      </c>
      <c r="C5" s="219" t="inlineStr">
        <is>
          <t>Work Required</t>
        </is>
      </c>
      <c r="D5" s="219" t="inlineStr">
        <is>
          <t>Exit Criteria</t>
        </is>
      </c>
      <c r="E5" s="219" t="inlineStr">
        <is>
          <t>Owner</t>
        </is>
      </c>
      <c r="F5" s="57" t="n"/>
    </row>
    <row r="6" ht="56" customHeight="1">
      <c r="A6" s="83" t="inlineStr">
        <is>
          <t xml:space="preserve">  Entity Resolution &amp; API Integration</t>
        </is>
      </c>
      <c r="B6" s="82" t="inlineStr">
        <is>
          <t>M0–1</t>
        </is>
      </c>
      <c r="C6" s="36" t="inlineStr">
        <is>
          <t>Connect Orbis, EDF-X, Cortera, RDC/GRID, BitSight, Praedicat APIs. Build entity matching pipeline. Test enrichment latency target: &lt;90 seconds.</t>
        </is>
      </c>
      <c r="D6" s="220" t="inlineStr">
        <is>
          <t>API contracts signed, enrichment pipeline live in dev environment.</t>
        </is>
      </c>
      <c r="E6" s="221" t="inlineStr">
        <is>
          <t>Data Engineering, Product</t>
        </is>
      </c>
      <c r="F6" s="57" t="n"/>
    </row>
    <row r="7" ht="56" customHeight="1">
      <c r="A7" s="222" t="inlineStr">
        <is>
          <t xml:space="preserve">  Scorecard Development per LOB</t>
        </is>
      </c>
      <c r="B7" s="223" t="inlineStr">
        <is>
          <t>M1–2</t>
        </is>
      </c>
      <c r="C7" s="40" t="inlineStr">
        <is>
          <t>Build 6 LOB scoring models as weighted scorecards in code. Weights set by actuarial + UW SME workshops. Red line rules hard-coded. Validated against 20+ historical submissions per LOB.</t>
        </is>
      </c>
      <c r="D7" s="220" t="inlineStr">
        <is>
          <t>Scorecard code deployed. Weights v1.0 documented and filed with actuarial.</t>
        </is>
      </c>
      <c r="E7" s="224" t="inlineStr">
        <is>
          <t>Actuarial, UW, Data Science</t>
        </is>
      </c>
      <c r="F7" s="57" t="n"/>
    </row>
    <row r="8" ht="56" customHeight="1">
      <c r="A8" s="83" t="inlineStr">
        <is>
          <t xml:space="preserve">  UW Desktop Integration</t>
        </is>
      </c>
      <c r="B8" s="82" t="inlineStr">
        <is>
          <t>M2–3</t>
        </is>
      </c>
      <c r="C8" s="36" t="inlineStr">
        <is>
          <t>Build risk signal card UI: score, RAG signal, top-5 SHAP drivers, missing data flags, red lines, recommended action, enrichment data preview. Integrate into submission management system.</t>
        </is>
      </c>
      <c r="D8" s="220" t="inlineStr">
        <is>
          <t>UW desktop showing live risk cards for all new submissions.</t>
        </is>
      </c>
      <c r="E8" s="221" t="inlineStr">
        <is>
          <t>Product, Engineering, UX</t>
        </is>
      </c>
      <c r="F8" s="57" t="n"/>
    </row>
    <row r="9" ht="56" customHeight="1">
      <c r="A9" s="222" t="inlineStr">
        <is>
          <t xml:space="preserve">  Pilot Program — 2 LOBs</t>
        </is>
      </c>
      <c r="B9" s="223" t="inlineStr">
        <is>
          <t>M3–4</t>
        </is>
      </c>
      <c r="C9" s="40" t="inlineStr">
        <is>
          <t>Go-live with D&amp;O and Trade Credit first (richest Moody's data coverage). UW team uses risk cards as advisory. Track: time-to-quote, agreement rate with model signal, flags raised.</t>
        </is>
      </c>
      <c r="D9" s="220" t="inlineStr">
        <is>
          <t>100+ live submissions processed. UW feedback collected. First calibration adjustment.</t>
        </is>
      </c>
      <c r="E9" s="224" t="inlineStr">
        <is>
          <t>UW, Product, Actuarial</t>
        </is>
      </c>
      <c r="F9" s="57" t="n"/>
    </row>
    <row r="10" ht="56" customHeight="1">
      <c r="A10" s="83" t="inlineStr">
        <is>
          <t xml:space="preserve">  Full Rollout — All 6 LOBs</t>
        </is>
      </c>
      <c r="B10" s="82" t="inlineStr">
        <is>
          <t>M4–6</t>
        </is>
      </c>
      <c r="C10" s="36" t="inlineStr">
        <is>
          <t>Extend to Surety, GL, Excess Casualty, E&amp;O. Refine weights based on pilot feedback. Regulatory filings for states requiring model disclosure. NAIC AI governance compliance documentation.</t>
        </is>
      </c>
      <c r="D10" s="220" t="inlineStr">
        <is>
          <t>All 6 LOBs live. Model documented and filed. UW adoption &gt;80%.</t>
        </is>
      </c>
      <c r="E10" s="221" t="inlineStr">
        <is>
          <t>All teams</t>
        </is>
      </c>
      <c r="F10" s="57" t="n"/>
    </row>
    <row r="11" ht="6" customHeight="1"/>
    <row r="12" ht="26" customHeight="1">
      <c r="A12" s="225" t="inlineStr">
        <is>
          <t xml:space="preserve">  PHASE 2 — ML Calibration  |  Months 9–24</t>
        </is>
      </c>
    </row>
    <row r="13" ht="18" customHeight="1">
      <c r="A13" s="219" t="inlineStr">
        <is>
          <t>Milestone</t>
        </is>
      </c>
      <c r="B13" s="219" t="inlineStr">
        <is>
          <t>Timeline</t>
        </is>
      </c>
      <c r="C13" s="219" t="inlineStr">
        <is>
          <t>Work Required</t>
        </is>
      </c>
      <c r="D13" s="219" t="inlineStr">
        <is>
          <t>Exit Criteria</t>
        </is>
      </c>
      <c r="E13" s="219" t="inlineStr">
        <is>
          <t>Owner</t>
        </is>
      </c>
      <c r="F13" s="57" t="n"/>
    </row>
    <row r="14" ht="56" customHeight="1">
      <c r="A14" s="83" t="inlineStr">
        <is>
          <t xml:space="preserve">  Claims Data Integration</t>
        </is>
      </c>
      <c r="B14" s="82" t="inlineStr">
        <is>
          <t>M9–12</t>
        </is>
      </c>
      <c r="C14" s="36" t="inlineStr">
        <is>
          <t>Integrate historical claims data (5–7 years) with submission-level features. Link claim outcomes to the Moody's enrichment signals captured at time of underwriting. Build training dataset.</t>
        </is>
      </c>
      <c r="D14" s="220" t="inlineStr">
        <is>
          <t>Training dataset: 10,000+ labeled submissions with claim outcomes per LOB.</t>
        </is>
      </c>
      <c r="E14" s="221" t="inlineStr">
        <is>
          <t>Data Engineering, Actuarial</t>
        </is>
      </c>
      <c r="F14" s="57" t="n"/>
    </row>
    <row r="15" ht="56" customHeight="1">
      <c r="A15" s="222" t="inlineStr">
        <is>
          <t xml:space="preserve">  XGBoost Model Training per LOB</t>
        </is>
      </c>
      <c r="B15" s="223" t="inlineStr">
        <is>
          <t>M12–18</t>
        </is>
      </c>
      <c r="C15" s="40" t="inlineStr">
        <is>
          <t>Train gradient boosting models on labeled data. Handle class imbalance (SMOTE + class weighting). Feature importance via SHAP. Validate: AUC-PR &gt; 0.65 for each LOB. Back-test on held-out 2yr period.</t>
        </is>
      </c>
      <c r="D15" s="220" t="inlineStr">
        <is>
          <t>ML models trained, validated, back-tested. SHAP attribution matches filed factors.</t>
        </is>
      </c>
      <c r="E15" s="224" t="inlineStr">
        <is>
          <t>Data Science, Actuarial</t>
        </is>
      </c>
      <c r="F15" s="57" t="n"/>
    </row>
    <row r="16" ht="56" customHeight="1">
      <c r="A16" s="83" t="inlineStr">
        <is>
          <t xml:space="preserve">  Hybrid Deployment (Scorecard + ML)</t>
        </is>
      </c>
      <c r="B16" s="82" t="inlineStr">
        <is>
          <t>M18–24</t>
        </is>
      </c>
      <c r="C16" s="36" t="inlineStr">
        <is>
          <t>Deploy ML score alongside scorecard score. Underwriter sees both. Confidence-weighted composite used for GREEN fast-track decisions. ML score used to recalibrate expert scorecard weights.</t>
        </is>
      </c>
      <c r="D16" s="220" t="inlineStr">
        <is>
          <t>Hybrid model live. Scorecard weights updated using ML feature importance.</t>
        </is>
      </c>
      <c r="E16" s="221" t="inlineStr">
        <is>
          <t>Data Science, Product, Actuarial</t>
        </is>
      </c>
      <c r="F16" s="57" t="n"/>
    </row>
    <row r="17" ht="6" customHeight="1"/>
    <row r="18" ht="26" customHeight="1">
      <c r="A18" s="226" t="inlineStr">
        <is>
          <t xml:space="preserve">  PHASE 3 — Continuous Learning Engine  |  Month 24+</t>
        </is>
      </c>
    </row>
    <row r="19" ht="18" customHeight="1">
      <c r="A19" s="219" t="inlineStr">
        <is>
          <t>Milestone</t>
        </is>
      </c>
      <c r="B19" s="219" t="inlineStr">
        <is>
          <t>Timeline</t>
        </is>
      </c>
      <c r="C19" s="219" t="inlineStr">
        <is>
          <t>Work Required</t>
        </is>
      </c>
      <c r="D19" s="219" t="inlineStr">
        <is>
          <t>Exit Criteria</t>
        </is>
      </c>
      <c r="E19" s="219" t="inlineStr">
        <is>
          <t>Owner</t>
        </is>
      </c>
      <c r="F19" s="57" t="n"/>
    </row>
    <row r="20" ht="56" customHeight="1">
      <c r="A20" s="83" t="inlineStr">
        <is>
          <t xml:space="preserve">  Real-Time Model Drift Monitoring</t>
        </is>
      </c>
      <c r="B20" s="82" t="inlineStr">
        <is>
          <t>M24+</t>
        </is>
      </c>
      <c r="C20" s="36" t="inlineStr">
        <is>
          <t>Monthly AUC tracking. Annual full recalibration. Praedicat + Economy.com dynamic inputs prevent static weight decay. Emerging risk review quarterly.</t>
        </is>
      </c>
      <c r="D20" s="220" t="inlineStr">
        <is>
          <t>Model governance dashboard. Annual recalibration as standard operating procedure.</t>
        </is>
      </c>
      <c r="E20" s="221" t="inlineStr">
        <is>
          <t>Actuarial, Data Science</t>
        </is>
      </c>
      <c r="F20" s="57" t="n"/>
    </row>
    <row r="21" ht="56" customHeight="1">
      <c r="A21" s="222" t="inlineStr">
        <is>
          <t xml:space="preserve">  Portfolio Intelligence Layer</t>
        </is>
      </c>
      <c r="B21" s="223" t="inlineStr">
        <is>
          <t>M24+</t>
        </is>
      </c>
      <c r="C21" s="40" t="inlineStr">
        <is>
          <t>Aggregate all scored submissions into portfolio risk heat map. Concentration monitoring by sector, geography, credit tier. Cross-LOB correlation alerts. Reinsurance treaty optimization support.</t>
        </is>
      </c>
      <c r="D21" s="220" t="inlineStr">
        <is>
          <t>Portfolio risk dashboard live. Underwriting portfolio managed with data, not intuition.</t>
        </is>
      </c>
      <c r="E21" s="224" t="inlineStr">
        <is>
          <t>Portfolio Mgmt, Actuarial, Reinsurance</t>
        </is>
      </c>
      <c r="F21" s="57" t="n"/>
    </row>
    <row r="22" ht="56" customHeight="1">
      <c r="A22" s="83" t="inlineStr">
        <is>
          <t xml:space="preserve">  Claims Prediction Model (v1)</t>
        </is>
      </c>
      <c r="B22" s="82" t="inlineStr">
        <is>
          <t>M30+</t>
        </is>
      </c>
      <c r="C22" s="36" t="inlineStr">
        <is>
          <t>With 3+ years of closed-loop data: build true predictive claims model. Separate from risk signal — this model predicts claim probability per submission for pricing, not just triage.</t>
        </is>
      </c>
      <c r="D22" s="220" t="inlineStr">
        <is>
          <t>Claims prediction model: AUC-PR &gt;0.70. Integrated into pricing actuarial workflow.</t>
        </is>
      </c>
      <c r="E22" s="221" t="inlineStr">
        <is>
          <t>Actuarial, Data Science</t>
        </is>
      </c>
      <c r="F22" s="57" t="n"/>
    </row>
    <row r="23" ht="6" customHeight="1"/>
    <row r="24" ht="16" customHeight="1">
      <c r="A24" s="227" t="inlineStr">
        <is>
          <t xml:space="preserve">  EXPECTED VALUE — Business Case</t>
        </is>
      </c>
    </row>
    <row r="25" ht="34" customHeight="1">
      <c r="A25" s="228" t="inlineStr">
        <is>
          <t>Underwriting Efficiency</t>
        </is>
      </c>
      <c r="B25" s="73" t="inlineStr">
        <is>
          <t>40–70% reduction in per-submission research time. Industry benchmark (Sapiens/Inaza research). At $3,000–5,000 avg UW cost per submission, 70% time reduction = $2,100–3,500 saved per submission.</t>
        </is>
      </c>
      <c r="C25" s="56" t="n"/>
      <c r="D25" s="56" t="n"/>
      <c r="E25" s="56" t="n"/>
      <c r="F25" s="57" t="n"/>
    </row>
    <row r="26" ht="34" customHeight="1">
      <c r="A26" s="228" t="inlineStr">
        <is>
          <t>Capacity Unlock</t>
        </is>
      </c>
      <c r="B26" s="70" t="inlineStr">
        <is>
          <t>With 5x faster GREEN processing and auto-triaged RED/BLACK accounts: same UW team can handle 3–4x volume. Premium growth without proportional headcount growth.</t>
        </is>
      </c>
      <c r="C26" s="56" t="n"/>
      <c r="D26" s="56" t="n"/>
      <c r="E26" s="56" t="n"/>
      <c r="F26" s="57" t="n"/>
    </row>
    <row r="27" ht="34" customHeight="1">
      <c r="A27" s="228" t="inlineStr">
        <is>
          <t>Loss Ratio Improvement</t>
        </is>
      </c>
      <c r="B27" s="73" t="inlineStr">
        <is>
          <t>Better risk selection = lower loss ratio. Even a 2–3 percentage point improvement in loss ratio on a $500M GWP book = $10–15M in annual underwriting profit.</t>
        </is>
      </c>
      <c r="C27" s="56" t="n"/>
      <c r="D27" s="56" t="n"/>
      <c r="E27" s="56" t="n"/>
      <c r="F27" s="57" t="n"/>
    </row>
    <row r="28" ht="34" customHeight="1">
      <c r="A28" s="228" t="inlineStr">
        <is>
          <t>Data Moat</t>
        </is>
      </c>
      <c r="B28" s="70" t="inlineStr">
        <is>
          <t>Moody's external data (Orbis, EDF-X, Cortera, Praedicat, BitSight) cannot be replicated by competitors. Underwriting intelligence built on proprietary data creates durable competitive advantage.</t>
        </is>
      </c>
      <c r="C28" s="56" t="n"/>
      <c r="D28" s="56" t="n"/>
      <c r="E28" s="56" t="n"/>
      <c r="F28" s="57" t="n"/>
    </row>
    <row r="29" ht="34" customHeight="1">
      <c r="A29" s="228" t="inlineStr">
        <is>
          <t>Regulatory Tailwind</t>
        </is>
      </c>
      <c r="B29" s="73" t="inlineStr">
        <is>
          <t>24 states adopted NAIC AI governance. Early movers who build NAIC-compliant explainable models gain regulatory trust and faster approval for tech-enabled underwriting programs.</t>
        </is>
      </c>
      <c r="C29" s="56" t="n"/>
      <c r="D29" s="56" t="n"/>
      <c r="E29" s="56" t="n"/>
      <c r="F29" s="57" t="n"/>
    </row>
  </sheetData>
  <mergeCells count="26">
    <mergeCell ref="B25:F25"/>
    <mergeCell ref="E5:F5"/>
    <mergeCell ref="A12:F12"/>
    <mergeCell ref="E14:F14"/>
    <mergeCell ref="A18:F18"/>
    <mergeCell ref="A3:F3"/>
    <mergeCell ref="E8:F8"/>
    <mergeCell ref="B27:F27"/>
    <mergeCell ref="A2:F2"/>
    <mergeCell ref="E20:F20"/>
    <mergeCell ref="E10:F10"/>
    <mergeCell ref="E19:F19"/>
    <mergeCell ref="E13:F13"/>
    <mergeCell ref="A4:F4"/>
    <mergeCell ref="E9:F9"/>
    <mergeCell ref="B29:F29"/>
    <mergeCell ref="E6:F6"/>
    <mergeCell ref="E15:F15"/>
    <mergeCell ref="B28:F28"/>
    <mergeCell ref="A24:F24"/>
    <mergeCell ref="E16:F16"/>
    <mergeCell ref="E7:F7"/>
    <mergeCell ref="A1:F1"/>
    <mergeCell ref="E22:F22"/>
    <mergeCell ref="B26:F26"/>
    <mergeCell ref="E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2026-05-31T16:20:04Z</dcterms:created>
  <dcterms:modified xsi:type="dcterms:W3CDTF">2026-05-31T16:20:06Z</dcterms:modified>
</cp:coreProperties>
</file>